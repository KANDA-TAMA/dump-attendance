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nda\OneDrive\デスクトップ\加工場所\ﾀﾞﾝﾌﾟ運転手用勤怠システム開発\dump-attendance\templates\"/>
    </mc:Choice>
  </mc:AlternateContent>
  <xr:revisionPtr revIDLastSave="0" documentId="13_ncr:1_{23428145-E5B3-4C95-A1B7-6971F2F23852}" xr6:coauthVersionLast="47" xr6:coauthVersionMax="47" xr10:uidLastSave="{00000000-0000-0000-0000-000000000000}"/>
  <bookViews>
    <workbookView showHorizontalScroll="0" showVerticalScroll="0" xWindow="780" yWindow="750" windowWidth="23385" windowHeight="15450" xr2:uid="{00000000-000D-0000-FFFF-FFFF00000000}"/>
  </bookViews>
  <sheets>
    <sheet name="出勤簿" sheetId="1" r:id="rId1"/>
    <sheet name="関数" sheetId="2" r:id="rId2"/>
    <sheet name="祝日一覧" sheetId="3" r:id="rId3"/>
    <sheet name="20251021改定内容" sheetId="4" r:id="rId4"/>
  </sheets>
  <externalReferences>
    <externalReference r:id="rId5"/>
  </externalReferences>
  <definedNames>
    <definedName name="_xlnm.Print_Area" localSheetId="0">出勤簿!$A$1:$O$55</definedName>
    <definedName name="祝日リスト">祝日一覧!$A:$C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d+B8S0YDEcy8i4i+c4LaWB4llbw=="/>
    </ext>
  </extLst>
</workbook>
</file>

<file path=xl/calcChain.xml><?xml version="1.0" encoding="utf-8"?>
<calcChain xmlns="http://schemas.openxmlformats.org/spreadsheetml/2006/main">
  <c r="L13" i="1" l="1"/>
  <c r="I13" i="1"/>
  <c r="J13" i="1"/>
  <c r="G13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2" i="1"/>
  <c r="L11" i="1"/>
  <c r="E49" i="1"/>
  <c r="E48" i="1"/>
  <c r="E52" i="1"/>
  <c r="I44" i="1"/>
  <c r="J44" i="1" s="1" a="1"/>
  <c r="J44" i="1" s="1"/>
  <c r="G44" i="1"/>
  <c r="E50" i="1"/>
  <c r="E51" i="1" s="1"/>
  <c r="J51" i="1"/>
  <c r="J11" i="1" l="1"/>
  <c r="I11" i="1"/>
  <c r="J39" i="1"/>
  <c r="J33" i="1"/>
  <c r="J32" i="1"/>
  <c r="J31" i="1"/>
  <c r="J30" i="1"/>
  <c r="J29" i="1"/>
  <c r="J28" i="1"/>
  <c r="J27" i="1"/>
  <c r="J25" i="1"/>
  <c r="J24" i="1"/>
  <c r="J12" i="1"/>
  <c r="G11" i="1"/>
  <c r="G12" i="1"/>
  <c r="I12" i="1"/>
  <c r="I14" i="1"/>
  <c r="G14" i="1" s="1"/>
  <c r="I15" i="1"/>
  <c r="G15" i="1" s="1"/>
  <c r="I16" i="1"/>
  <c r="G16" i="1" s="1"/>
  <c r="I17" i="1"/>
  <c r="J17" i="1" s="1"/>
  <c r="I18" i="1"/>
  <c r="J18" i="1" s="1"/>
  <c r="I19" i="1"/>
  <c r="G19" i="1" s="1"/>
  <c r="I20" i="1"/>
  <c r="G20" i="1" s="1"/>
  <c r="I21" i="1"/>
  <c r="G21" i="1" s="1"/>
  <c r="I22" i="1"/>
  <c r="G22" i="1" s="1"/>
  <c r="I23" i="1"/>
  <c r="J23" i="1" s="1"/>
  <c r="I24" i="1"/>
  <c r="G24" i="1" s="1"/>
  <c r="G25" i="1"/>
  <c r="I25" i="1"/>
  <c r="I26" i="1"/>
  <c r="J26" i="1" s="1"/>
  <c r="I27" i="1"/>
  <c r="G27" i="1" s="1"/>
  <c r="I28" i="1"/>
  <c r="G28" i="1" s="1"/>
  <c r="I29" i="1"/>
  <c r="G29" i="1" s="1"/>
  <c r="I30" i="1"/>
  <c r="G30" i="1" s="1"/>
  <c r="G31" i="1"/>
  <c r="I31" i="1"/>
  <c r="G32" i="1"/>
  <c r="I32" i="1"/>
  <c r="I33" i="1"/>
  <c r="G33" i="1" s="1"/>
  <c r="I34" i="1"/>
  <c r="J34" i="1" s="1"/>
  <c r="I35" i="1"/>
  <c r="G35" i="1" s="1"/>
  <c r="I36" i="1"/>
  <c r="G36" i="1" s="1"/>
  <c r="I37" i="1"/>
  <c r="G37" i="1" s="1"/>
  <c r="I38" i="1"/>
  <c r="G38" i="1" s="1"/>
  <c r="G39" i="1"/>
  <c r="I39" i="1"/>
  <c r="J35" i="1" l="1"/>
  <c r="J36" i="1"/>
  <c r="J37" i="1"/>
  <c r="J38" i="1"/>
  <c r="J19" i="1"/>
  <c r="G34" i="1"/>
  <c r="G26" i="1"/>
  <c r="J21" i="1"/>
  <c r="G23" i="1"/>
  <c r="J22" i="1"/>
  <c r="J20" i="1"/>
  <c r="G18" i="1"/>
  <c r="J14" i="1"/>
  <c r="J15" i="1"/>
  <c r="J16" i="1"/>
  <c r="G17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R11" i="1"/>
  <c r="Q11" i="1"/>
  <c r="R45" i="1"/>
  <c r="Q45" i="1"/>
  <c r="R46" i="1"/>
  <c r="Q46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12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G43" i="1"/>
  <c r="G45" i="1"/>
  <c r="G46" i="1"/>
  <c r="I46" i="1"/>
  <c r="J46" i="1" s="1" a="1"/>
  <c r="J46" i="1" s="1"/>
  <c r="I45" i="1"/>
  <c r="J45" i="1" s="1" a="1"/>
  <c r="J45" i="1" s="1"/>
  <c r="I43" i="1"/>
  <c r="J43" i="1" s="1" a="1"/>
  <c r="J43" i="1" s="1"/>
  <c r="I42" i="1"/>
  <c r="G42" i="1" s="1"/>
  <c r="I41" i="1"/>
  <c r="I40" i="1"/>
  <c r="J40" i="1" s="1"/>
  <c r="J41" i="1" l="1"/>
  <c r="J50" i="1"/>
  <c r="J52" i="1" s="1"/>
  <c r="G41" i="1"/>
  <c r="J42" i="1" a="1"/>
  <c r="J42" i="1" s="1"/>
  <c r="S37" i="1"/>
  <c r="T37" i="1" s="1"/>
  <c r="S46" i="1"/>
  <c r="T46" i="1" s="1"/>
  <c r="S45" i="1"/>
  <c r="T45" i="1" s="1"/>
  <c r="S27" i="1"/>
  <c r="T27" i="1" s="1"/>
  <c r="G40" i="1"/>
  <c r="S38" i="1"/>
  <c r="T38" i="1" s="1"/>
  <c r="S24" i="1"/>
  <c r="T24" i="1" s="1"/>
  <c r="S18" i="1"/>
  <c r="T18" i="1" s="1"/>
  <c r="S40" i="1"/>
  <c r="T40" i="1" s="1"/>
  <c r="S23" i="1"/>
  <c r="T23" i="1" s="1"/>
  <c r="S31" i="1"/>
  <c r="T31" i="1" s="1"/>
  <c r="S20" i="1"/>
  <c r="T20" i="1" s="1"/>
  <c r="S28" i="1"/>
  <c r="T28" i="1" s="1"/>
  <c r="S19" i="1"/>
  <c r="T19" i="1" s="1"/>
  <c r="S36" i="1"/>
  <c r="T36" i="1" s="1"/>
  <c r="S44" i="1"/>
  <c r="T44" i="1" s="1"/>
  <c r="S39" i="1"/>
  <c r="T39" i="1" s="1"/>
  <c r="S11" i="1"/>
  <c r="T11" i="1" s="1"/>
  <c r="S16" i="1"/>
  <c r="T16" i="1" s="1"/>
  <c r="S41" i="1"/>
  <c r="T41" i="1" s="1"/>
  <c r="S15" i="1"/>
  <c r="T15" i="1" s="1"/>
  <c r="S22" i="1"/>
  <c r="T22" i="1" s="1"/>
  <c r="S30" i="1"/>
  <c r="T30" i="1" s="1"/>
  <c r="S14" i="1"/>
  <c r="T14" i="1" s="1"/>
  <c r="S21" i="1"/>
  <c r="T21" i="1" s="1"/>
  <c r="S29" i="1"/>
  <c r="T29" i="1" s="1"/>
  <c r="S26" i="1"/>
  <c r="T26" i="1" s="1"/>
  <c r="S33" i="1"/>
  <c r="T33" i="1" s="1"/>
  <c r="S17" i="1"/>
  <c r="T17" i="1" s="1"/>
  <c r="S13" i="1"/>
  <c r="T13" i="1" s="1"/>
  <c r="S34" i="1"/>
  <c r="T34" i="1" s="1"/>
  <c r="S32" i="1"/>
  <c r="T32" i="1" s="1"/>
  <c r="S42" i="1"/>
  <c r="T42" i="1" s="1"/>
  <c r="S35" i="1"/>
  <c r="T35" i="1" s="1"/>
  <c r="S43" i="1"/>
  <c r="T43" i="1" s="1"/>
  <c r="S25" i="1"/>
  <c r="T25" i="1" s="1"/>
  <c r="S12" i="1"/>
  <c r="T12" i="1" s="1"/>
  <c r="N46" i="1" a="1"/>
  <c r="N46" i="1" s="1"/>
  <c r="M46" i="1" a="1"/>
  <c r="M46" i="1" s="1"/>
  <c r="L46" i="1"/>
  <c r="K46" i="1" a="1"/>
  <c r="K46" i="1" s="1"/>
  <c r="N45" i="1" a="1"/>
  <c r="N45" i="1" s="1"/>
  <c r="M45" i="1" a="1"/>
  <c r="M45" i="1" s="1"/>
  <c r="L45" i="1"/>
  <c r="K45" i="1" a="1"/>
  <c r="K45" i="1" s="1"/>
  <c r="N44" i="1" a="1"/>
  <c r="N44" i="1" s="1"/>
  <c r="M44" i="1" a="1"/>
  <c r="M44" i="1" s="1"/>
  <c r="L44" i="1"/>
  <c r="K44" i="1" a="1"/>
  <c r="K44" i="1" s="1"/>
  <c r="N43" i="1" a="1"/>
  <c r="N43" i="1" s="1"/>
  <c r="M43" i="1" a="1"/>
  <c r="M43" i="1" s="1"/>
  <c r="L43" i="1"/>
  <c r="K43" i="1" a="1"/>
  <c r="K43" i="1" s="1"/>
  <c r="N42" i="1" a="1"/>
  <c r="N42" i="1" s="1"/>
  <c r="M42" i="1" a="1"/>
  <c r="M42" i="1" s="1"/>
  <c r="L42" i="1"/>
  <c r="K42" i="1" a="1"/>
  <c r="K42" i="1" s="1"/>
  <c r="N41" i="1" a="1"/>
  <c r="N41" i="1" s="1"/>
  <c r="M41" i="1" a="1"/>
  <c r="M41" i="1" s="1"/>
  <c r="L41" i="1"/>
  <c r="O55" i="1" a="1"/>
  <c r="O55" i="1" s="1"/>
  <c r="M40" i="1" a="1"/>
  <c r="M40" i="1" s="1"/>
  <c r="M39" i="1" a="1"/>
  <c r="M39" i="1" s="1"/>
  <c r="M38" i="1" a="1"/>
  <c r="M38" i="1" s="1"/>
  <c r="J48" i="1" l="1"/>
  <c r="K41" i="1" a="1"/>
  <c r="K41" i="1" s="1"/>
  <c r="L4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A2" i="2"/>
  <c r="L40" i="1"/>
  <c r="L39" i="1"/>
  <c r="L38" i="1"/>
  <c r="K38" i="1" a="1"/>
  <c r="K38" i="1" s="1"/>
  <c r="M54" i="1" l="1"/>
  <c r="M6" i="1"/>
  <c r="A43" i="1"/>
  <c r="K40" i="1" a="1"/>
  <c r="K40" i="1" s="1"/>
  <c r="K39" i="1" a="1"/>
  <c r="K39" i="1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A9" i="2"/>
  <c r="A44" i="1" l="1"/>
  <c r="A10" i="2"/>
  <c r="C9" i="2"/>
  <c r="A45" i="1" l="1"/>
  <c r="A11" i="2"/>
  <c r="C10" i="2"/>
  <c r="A46" i="1" l="1"/>
  <c r="A12" i="2"/>
  <c r="C11" i="2"/>
  <c r="A13" i="2" l="1"/>
  <c r="C12" i="2"/>
  <c r="C13" i="2" l="1"/>
  <c r="A14" i="2"/>
  <c r="A15" i="2" l="1"/>
  <c r="C14" i="2"/>
  <c r="C15" i="2" l="1"/>
  <c r="A16" i="2"/>
  <c r="A17" i="2" l="1"/>
  <c r="C16" i="2"/>
  <c r="A18" i="2" l="1"/>
  <c r="C17" i="2"/>
  <c r="A19" i="2" l="1"/>
  <c r="C18" i="2"/>
  <c r="A20" i="2" l="1"/>
  <c r="C19" i="2"/>
  <c r="A21" i="2" l="1"/>
  <c r="C20" i="2"/>
  <c r="C21" i="2" l="1"/>
  <c r="A22" i="2"/>
  <c r="A23" i="2" l="1"/>
  <c r="C22" i="2"/>
  <c r="C23" i="2" l="1"/>
  <c r="A24" i="2"/>
  <c r="A25" i="2" l="1"/>
  <c r="C24" i="2"/>
  <c r="A26" i="2" l="1"/>
  <c r="C25" i="2"/>
  <c r="A27" i="2" l="1"/>
  <c r="C26" i="2"/>
  <c r="A28" i="2" l="1"/>
  <c r="C27" i="2"/>
  <c r="A29" i="2" l="1"/>
  <c r="C28" i="2"/>
  <c r="C29" i="2" l="1"/>
  <c r="A30" i="2"/>
  <c r="A31" i="2" l="1"/>
  <c r="C30" i="2"/>
  <c r="C31" i="2" l="1"/>
  <c r="A32" i="2"/>
  <c r="A33" i="2" l="1"/>
  <c r="C32" i="2"/>
  <c r="A34" i="2" l="1"/>
  <c r="C33" i="2"/>
  <c r="A35" i="2" l="1"/>
  <c r="C34" i="2"/>
  <c r="A36" i="2" l="1"/>
  <c r="C35" i="2"/>
  <c r="A37" i="2" l="1"/>
  <c r="C36" i="2"/>
  <c r="C37" i="2" l="1"/>
  <c r="A38" i="2"/>
  <c r="A39" i="2" l="1"/>
  <c r="C39" i="2" s="1"/>
  <c r="C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神田裕一郎</author>
  </authors>
  <commentList>
    <comment ref="G48" authorId="0" shapeId="0" xr:uid="{0C9EA71E-0E5C-431E-B2FC-C253D37D95C2}">
      <text>
        <r>
          <rPr>
            <b/>
            <sz val="9"/>
            <color indexed="81"/>
            <rFont val="MS P ゴシック"/>
            <family val="3"/>
            <charset val="128"/>
          </rPr>
          <t>神田裕一郎:</t>
        </r>
        <r>
          <rPr>
            <sz val="9"/>
            <color indexed="81"/>
            <rFont val="MS P ゴシック"/>
            <family val="3"/>
            <charset val="128"/>
          </rPr>
          <t xml:space="preserve">
定義：総時間外労働時間-法定休日勤務時間-所定休日勤務時間
意味：出勤日における早出残業時間合計</t>
        </r>
      </text>
    </comment>
    <comment ref="C49" authorId="0" shapeId="0" xr:uid="{9C68515C-E5B8-49BD-AE75-EBCBFA4C8AE0}">
      <text>
        <r>
          <rPr>
            <b/>
            <sz val="9"/>
            <color indexed="81"/>
            <rFont val="MS P ゴシック"/>
            <family val="3"/>
            <charset val="128"/>
          </rPr>
          <t>神田裕一郎:</t>
        </r>
        <r>
          <rPr>
            <sz val="9"/>
            <color indexed="81"/>
            <rFont val="MS P ゴシック"/>
            <family val="3"/>
            <charset val="128"/>
          </rPr>
          <t xml:space="preserve">
20251021変更
欠勤→休日出勤日数</t>
        </r>
      </text>
    </comment>
    <comment ref="C50" authorId="0" shapeId="0" xr:uid="{95D62B21-B2A5-4DF6-AEA6-A5A18B2E4475}">
      <text>
        <r>
          <rPr>
            <b/>
            <sz val="9"/>
            <color indexed="81"/>
            <rFont val="MS P ゴシック"/>
            <family val="3"/>
            <charset val="128"/>
          </rPr>
          <t>神田裕一郎:</t>
        </r>
        <r>
          <rPr>
            <sz val="9"/>
            <color indexed="81"/>
            <rFont val="MS P ゴシック"/>
            <family val="3"/>
            <charset val="128"/>
          </rPr>
          <t xml:space="preserve">
20251021追加
定義：実労働時間-有給時間(1日＝8時間）</t>
        </r>
      </text>
    </comment>
    <comment ref="C51" authorId="0" shapeId="0" xr:uid="{68CD80E0-8EE1-4CC7-B2E5-F80E7DA88A00}">
      <text>
        <r>
          <rPr>
            <b/>
            <sz val="9"/>
            <color indexed="81"/>
            <rFont val="MS P ゴシック"/>
            <family val="3"/>
            <charset val="128"/>
          </rPr>
          <t>神田裕一郎:</t>
        </r>
        <r>
          <rPr>
            <sz val="9"/>
            <color indexed="81"/>
            <rFont val="MS P ゴシック"/>
            <family val="3"/>
            <charset val="128"/>
          </rPr>
          <t xml:space="preserve">
20251021追加
定義：実労働時間-有給時間(1日＝8時間）</t>
        </r>
      </text>
    </comment>
    <comment ref="C52" authorId="0" shapeId="0" xr:uid="{99BF78E6-0023-4A96-B276-91AE09B86719}">
      <text>
        <r>
          <rPr>
            <b/>
            <sz val="9"/>
            <color indexed="81"/>
            <rFont val="MS P ゴシック"/>
            <family val="3"/>
            <charset val="128"/>
          </rPr>
          <t>神田裕一郎:</t>
        </r>
        <r>
          <rPr>
            <sz val="9"/>
            <color indexed="81"/>
            <rFont val="MS P ゴシック"/>
            <family val="3"/>
            <charset val="128"/>
          </rPr>
          <t xml:space="preserve">
20251021追加
定義：実労働時間-有給時間(1日＝8時間）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<sst xmlns="http://schemas.openxmlformats.org/spreadsheetml/2006/main" count="171" uniqueCount="87">
  <si>
    <t>日付</t>
  </si>
  <si>
    <t>押印欄</t>
  </si>
  <si>
    <t>勤務開始</t>
  </si>
  <si>
    <t>勤務終了</t>
  </si>
  <si>
    <t>所属部署</t>
  </si>
  <si>
    <t>氏名</t>
  </si>
  <si>
    <t>区分</t>
  </si>
  <si>
    <t>遅刻</t>
  </si>
  <si>
    <t>早退</t>
  </si>
  <si>
    <t>備考</t>
  </si>
  <si>
    <t>出勤日数</t>
  </si>
  <si>
    <t>承認印</t>
  </si>
  <si>
    <t>祝日</t>
  </si>
  <si>
    <t>内閣府HP／「国民の祝日」について</t>
  </si>
  <si>
    <t>https://www8.cao.go.jp/chosei/shukujitsu/gaiyou.html</t>
  </si>
  <si>
    <t>〇令和5年（2023年）の国民の祝日・休日</t>
  </si>
  <si>
    <t>名称</t>
  </si>
  <si>
    <t>元日</t>
  </si>
  <si>
    <t>休日</t>
  </si>
  <si>
    <t>祝日法第3条第2項による休日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</si>
  <si>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</si>
  <si>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</si>
  <si>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</si>
  <si>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</si>
  <si>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</si>
  <si>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</si>
  <si>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</si>
  <si>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</si>
  <si>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</si>
  <si>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</si>
  <si>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</si>
  <si>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</si>
  <si>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</si>
  <si>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</si>
  <si>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</si>
  <si>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〇令和6年（2024年）の国民の祝日・休日</t>
  </si>
  <si>
    <t>出勤簿</t>
    <phoneticPr fontId="6"/>
  </si>
  <si>
    <t>営業部</t>
    <rPh sb="0" eb="3">
      <t>エイギョウブ</t>
    </rPh>
    <phoneticPr fontId="6"/>
  </si>
  <si>
    <t>池田　和泰</t>
    <rPh sb="0" eb="2">
      <t>イケダ</t>
    </rPh>
    <rPh sb="3" eb="4">
      <t>カズ</t>
    </rPh>
    <rPh sb="4" eb="5">
      <t>ヤス</t>
    </rPh>
    <phoneticPr fontId="6"/>
  </si>
  <si>
    <t>開始日</t>
    <rPh sb="0" eb="3">
      <t>カイシビ</t>
    </rPh>
    <phoneticPr fontId="6"/>
  </si>
  <si>
    <t>締日</t>
    <rPh sb="0" eb="1">
      <t>シ</t>
    </rPh>
    <rPh sb="1" eb="2">
      <t>ビ</t>
    </rPh>
    <phoneticPr fontId="6"/>
  </si>
  <si>
    <t>5年</t>
    <rPh sb="1" eb="2">
      <t>ネン</t>
    </rPh>
    <phoneticPr fontId="6"/>
  </si>
  <si>
    <t>出勤①</t>
    <rPh sb="0" eb="2">
      <t>シュッキン</t>
    </rPh>
    <phoneticPr fontId="6"/>
  </si>
  <si>
    <t>出勤②</t>
    <rPh sb="0" eb="2">
      <t>シュッキン</t>
    </rPh>
    <phoneticPr fontId="6"/>
  </si>
  <si>
    <t>保管期間</t>
    <rPh sb="0" eb="2">
      <t>ホカン</t>
    </rPh>
    <rPh sb="2" eb="3">
      <t>キ</t>
    </rPh>
    <phoneticPr fontId="6"/>
  </si>
  <si>
    <t>廃棄時期</t>
    <rPh sb="0" eb="2">
      <t>ハイキ</t>
    </rPh>
    <rPh sb="2" eb="4">
      <t>ジキ</t>
    </rPh>
    <phoneticPr fontId="6"/>
  </si>
  <si>
    <t>出勤
時刻</t>
    <phoneticPr fontId="6"/>
  </si>
  <si>
    <t>退勤
時刻</t>
    <phoneticPr fontId="6"/>
  </si>
  <si>
    <t>休憩
時間</t>
    <phoneticPr fontId="6"/>
  </si>
  <si>
    <t>実働
時間</t>
    <phoneticPr fontId="6"/>
  </si>
  <si>
    <t>早朝
残業</t>
    <phoneticPr fontId="6"/>
  </si>
  <si>
    <t>運転
時間</t>
    <rPh sb="0" eb="2">
      <t>ウンテン</t>
    </rPh>
    <rPh sb="3" eb="5">
      <t>ジカン</t>
    </rPh>
    <phoneticPr fontId="6"/>
  </si>
  <si>
    <t>荷役
時間</t>
    <rPh sb="0" eb="2">
      <t>ニヤク</t>
    </rPh>
    <rPh sb="3" eb="5">
      <t>ジカン</t>
    </rPh>
    <phoneticPr fontId="6"/>
  </si>
  <si>
    <t>深夜
労働時間</t>
    <phoneticPr fontId="6"/>
  </si>
  <si>
    <t>勤務開始</t>
    <phoneticPr fontId="6"/>
  </si>
  <si>
    <t>■運転時間確認</t>
    <rPh sb="1" eb="3">
      <t>ウンテン</t>
    </rPh>
    <rPh sb="3" eb="5">
      <t>ジカン</t>
    </rPh>
    <rPh sb="5" eb="7">
      <t>カクニン</t>
    </rPh>
    <phoneticPr fontId="6"/>
  </si>
  <si>
    <t>判定</t>
    <rPh sb="0" eb="2">
      <t>ハンテイ</t>
    </rPh>
    <phoneticPr fontId="6"/>
  </si>
  <si>
    <t>平均の
下限値</t>
    <rPh sb="0" eb="2">
      <t>ヘイキン</t>
    </rPh>
    <rPh sb="4" eb="7">
      <t>カゲンチ</t>
    </rPh>
    <phoneticPr fontId="6"/>
  </si>
  <si>
    <t>平均
(対上行)</t>
    <rPh sb="0" eb="2">
      <t>ヘイキン</t>
    </rPh>
    <rPh sb="4" eb="5">
      <t>タイ</t>
    </rPh>
    <rPh sb="5" eb="6">
      <t>ウエ</t>
    </rPh>
    <rPh sb="6" eb="7">
      <t>ギョウ</t>
    </rPh>
    <phoneticPr fontId="6"/>
  </si>
  <si>
    <t>平均
(対下行)</t>
    <rPh sb="0" eb="2">
      <t>ヘイキン</t>
    </rPh>
    <rPh sb="4" eb="5">
      <t>タイ</t>
    </rPh>
    <rPh sb="5" eb="6">
      <t>シタ</t>
    </rPh>
    <rPh sb="6" eb="7">
      <t>ギョウ</t>
    </rPh>
    <phoneticPr fontId="6"/>
  </si>
  <si>
    <t>振替休日</t>
  </si>
  <si>
    <t>休日出勤日数</t>
    <rPh sb="0" eb="2">
      <t>キュウジツ</t>
    </rPh>
    <rPh sb="2" eb="4">
      <t>シュッキン</t>
    </rPh>
    <rPh sb="4" eb="6">
      <t>ニッスウ</t>
    </rPh>
    <phoneticPr fontId="6"/>
  </si>
  <si>
    <t>実労働時間</t>
    <rPh sb="0" eb="5">
      <t>ジツロウドウジカン</t>
    </rPh>
    <phoneticPr fontId="6"/>
  </si>
  <si>
    <t>有休取得日数</t>
    <rPh sb="0" eb="2">
      <t>ユウキュウ</t>
    </rPh>
    <rPh sb="2" eb="4">
      <t>シュトク</t>
    </rPh>
    <rPh sb="4" eb="6">
      <t>ニッスウ</t>
    </rPh>
    <phoneticPr fontId="6"/>
  </si>
  <si>
    <t>所定内労働時間</t>
    <rPh sb="0" eb="3">
      <t>ショテイナイ</t>
    </rPh>
    <rPh sb="3" eb="5">
      <t>ロウドウ</t>
    </rPh>
    <rPh sb="5" eb="7">
      <t>ジカン</t>
    </rPh>
    <phoneticPr fontId="6"/>
  </si>
  <si>
    <t>時間外
労働時間</t>
    <phoneticPr fontId="6"/>
  </si>
  <si>
    <t>改定内容</t>
    <rPh sb="0" eb="2">
      <t>カイテイ</t>
    </rPh>
    <rPh sb="2" eb="4">
      <t>ナイヨウ</t>
    </rPh>
    <phoneticPr fontId="6"/>
  </si>
  <si>
    <t>列</t>
    <rPh sb="0" eb="1">
      <t>レツ</t>
    </rPh>
    <phoneticPr fontId="6"/>
  </si>
  <si>
    <t>C</t>
    <phoneticPr fontId="6"/>
  </si>
  <si>
    <t>時間外労働時間</t>
    <phoneticPr fontId="6"/>
  </si>
  <si>
    <t>J</t>
    <phoneticPr fontId="6"/>
  </si>
  <si>
    <t>「法定休日出勤」「所定労働出勤」を追加</t>
    <phoneticPr fontId="6"/>
  </si>
  <si>
    <t>区分</t>
    <rPh sb="0" eb="2">
      <t>クブン</t>
    </rPh>
    <phoneticPr fontId="6"/>
  </si>
  <si>
    <t>項目</t>
    <rPh sb="0" eb="2">
      <t>コウモク</t>
    </rPh>
    <phoneticPr fontId="6"/>
  </si>
  <si>
    <t>内容</t>
    <rPh sb="0" eb="2">
      <t>ナイヨウ</t>
    </rPh>
    <phoneticPr fontId="6"/>
  </si>
  <si>
    <t>法定休日勤務時間</t>
    <phoneticPr fontId="6"/>
  </si>
  <si>
    <t>所定休日勤務時間</t>
    <phoneticPr fontId="6"/>
  </si>
  <si>
    <t>休日勤務時間(合計)</t>
    <phoneticPr fontId="6"/>
  </si>
  <si>
    <t>残業時間</t>
    <phoneticPr fontId="6"/>
  </si>
  <si>
    <t>　本社より、ドライバーの人数も増加していることを踏まえ、勤怠集計表に</t>
    <rPh sb="1" eb="3">
      <t>ホンシャ</t>
    </rPh>
    <rPh sb="12" eb="14">
      <t>ニンズウ</t>
    </rPh>
    <rPh sb="15" eb="17">
      <t>ゾウカ</t>
    </rPh>
    <rPh sb="24" eb="25">
      <t>フ</t>
    </rPh>
    <rPh sb="28" eb="33">
      <t>キンタイシュウケイヒョウ</t>
    </rPh>
    <phoneticPr fontId="6"/>
  </si>
  <si>
    <t>　ドライバーの勤怠情報を追加するよう依頼あり、以下の改定で対応する。</t>
    <rPh sb="18" eb="20">
      <t>イライ</t>
    </rPh>
    <rPh sb="23" eb="25">
      <t>イカ</t>
    </rPh>
    <rPh sb="26" eb="28">
      <t>カイテイ</t>
    </rPh>
    <rPh sb="29" eb="31">
      <t>タイオウ</t>
    </rPh>
    <phoneticPr fontId="6"/>
  </si>
  <si>
    <t>2.変更内容</t>
    <rPh sb="2" eb="4">
      <t>ヘンコウ</t>
    </rPh>
    <rPh sb="4" eb="6">
      <t>ナイヨウ</t>
    </rPh>
    <phoneticPr fontId="6"/>
  </si>
  <si>
    <r>
      <t>1.</t>
    </r>
    <r>
      <rPr>
        <sz val="11"/>
        <color theme="1"/>
        <rFont val="ＭＳ ゴシック"/>
        <family val="3"/>
        <charset val="128"/>
      </rPr>
      <t>背景</t>
    </r>
    <rPh sb="2" eb="4">
      <t>ハイケイ</t>
    </rPh>
    <phoneticPr fontId="6"/>
  </si>
  <si>
    <t>以上</t>
    <rPh sb="0" eb="2">
      <t>イジョウ</t>
    </rPh>
    <phoneticPr fontId="6"/>
  </si>
  <si>
    <t>　以下 勤怠集計表　 転記用項目を追加</t>
    <rPh sb="1" eb="3">
      <t>イカ</t>
    </rPh>
    <rPh sb="4" eb="6">
      <t>キンタイ</t>
    </rPh>
    <rPh sb="6" eb="9">
      <t>シュウケイヒョウ</t>
    </rPh>
    <rPh sb="11" eb="13">
      <t>テンキ</t>
    </rPh>
    <rPh sb="13" eb="16">
      <t>ヨウコウモク</t>
    </rPh>
    <rPh sb="17" eb="19">
      <t>ツイカ</t>
    </rPh>
    <phoneticPr fontId="6"/>
  </si>
  <si>
    <t>出勤①</t>
  </si>
  <si>
    <t>出勤②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</si>
</sst>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F800]dddd\,\ mmmm\ dd\,\ yyyy"/>
    <numFmt numFmtId="177" formatCode="[h]:mm"/>
    <numFmt numFmtId="178" formatCode="d"/>
    <numFmt numFmtId="179" formatCode="aaa"/>
    <numFmt numFmtId="180" formatCode="m/d"/>
    <numFmt numFmtId="181" formatCode="yyyy/m/d;@"/>
    <numFmt numFmtId="182" formatCode="h:mm;@"/>
  </numFmts>
  <fonts count="20">
    <font>
      <sz val="11"/>
      <color theme="1"/>
      <name val="Calibri"/>
      <scheme val="minor"/>
    </font>
    <font>
      <b/>
      <sz val="20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theme="1"/>
      <name val="游ゴシック"/>
      <family val="3"/>
      <charset val="128"/>
    </font>
    <font>
      <sz val="11"/>
      <name val="Calibri"/>
      <family val="2"/>
    </font>
    <font>
      <b/>
      <sz val="11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sz val="12"/>
      <color theme="1"/>
      <name val="Calibri"/>
      <family val="2"/>
      <scheme val="minor"/>
    </font>
    <font>
      <sz val="12"/>
      <color theme="1"/>
      <name val="游ゴシック"/>
      <family val="3"/>
      <charset val="128"/>
    </font>
    <font>
      <sz val="10"/>
      <color theme="1"/>
      <name val="Calibri"/>
      <family val="2"/>
      <scheme val="minor"/>
    </font>
    <font>
      <sz val="9"/>
      <color theme="1"/>
      <name val="游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rgb="FFF2F2F2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0" fontId="2" fillId="0" borderId="5" xfId="0" applyFont="1" applyBorder="1" applyAlignment="1">
      <alignment vertical="center"/>
    </xf>
    <xf numFmtId="177" fontId="2" fillId="0" borderId="4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80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4" xfId="0" applyNumberFormat="1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7" fontId="2" fillId="0" borderId="4" xfId="0" quotePrefix="1" applyNumberFormat="1" applyFont="1" applyBorder="1" applyAlignment="1">
      <alignment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177" fontId="2" fillId="0" borderId="4" xfId="0" applyNumberFormat="1" applyFont="1" applyBorder="1" applyAlignment="1" applyProtection="1">
      <alignment vertical="center"/>
      <protection locked="0"/>
    </xf>
    <xf numFmtId="177" fontId="2" fillId="0" borderId="4" xfId="0" applyNumberFormat="1" applyFont="1" applyBorder="1" applyAlignment="1" applyProtection="1">
      <alignment horizontal="right" vertical="center"/>
      <protection locked="0"/>
    </xf>
    <xf numFmtId="0" fontId="8" fillId="5" borderId="4" xfId="0" applyFont="1" applyFill="1" applyBorder="1" applyAlignment="1">
      <alignment horizontal="center" vertical="center" wrapText="1"/>
    </xf>
    <xf numFmtId="177" fontId="2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77" fontId="2" fillId="0" borderId="4" xfId="0" applyNumberFormat="1" applyFont="1" applyBorder="1" applyAlignment="1">
      <alignment vertical="center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77" fontId="2" fillId="0" borderId="3" xfId="0" applyNumberFormat="1" applyFont="1" applyBorder="1" applyAlignment="1">
      <alignment vertical="center"/>
    </xf>
    <xf numFmtId="177" fontId="2" fillId="0" borderId="11" xfId="0" applyNumberFormat="1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182" fontId="10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81" fontId="9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55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15" xfId="0" applyBorder="1" applyAlignment="1">
      <alignment vertical="center"/>
    </xf>
  </cellXfs>
  <cellStyles count="1">
    <cellStyle name="標準" xfId="0" builtinId="0"/>
  </cellStyles>
  <dxfs count="7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numFmt numFmtId="183" formatCode=";;;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colors>
    <mruColors>
      <color rgb="FFFF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16</xdr:row>
      <xdr:rowOff>57150</xdr:rowOff>
    </xdr:from>
    <xdr:to>
      <xdr:col>7</xdr:col>
      <xdr:colOff>400757</xdr:colOff>
      <xdr:row>23</xdr:row>
      <xdr:rowOff>124020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D1972E-6482-483E-AE9C-ECA6C26A7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771650"/>
          <a:ext cx="5068007" cy="14003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0316;&#25104;&#29992;(sahchihata%20cloud)&#12304;2021.7&#26376;~&#12305;/01_&#32207;&#21209;&#30003;&#35531;&#26360;&#39006;&#12304;2021.7&#26376;~&#12305;/&#9321;%20&#25206;&#39178;&#23478;&#26063;&#22793;&#26356;&#23626;(&#24066;&#24029;)&#9313;.xlsx" TargetMode="External"/><Relationship Id="rId2" Type="http://schemas.openxmlformats.org/officeDocument/2006/relationships/externalLinkPath" Target="file:///C:\Users\kanda\OneDrive\&#12487;&#12473;&#12463;&#12488;&#12483;&#12503;\&#20316;&#25104;&#29992;(sahchihata%20cloud)&#12304;2021.7&#26376;~&#12305;\01_&#32207;&#21209;&#30003;&#35531;&#26360;&#39006;&#12304;2021.7&#26376;~&#12305;\&#9321;%20&#25206;&#39178;&#23478;&#26063;&#22793;&#26356;&#23626;(&#24066;&#24029;)&#9313;.xlsx" TargetMode="External"/><Relationship Id="rId1" Type="http://schemas.openxmlformats.org/officeDocument/2006/relationships/externalLinkPath" Target="/Users/kanda/OneDrive/&#12487;&#12473;&#12463;&#12488;&#12483;&#12503;/&#20316;&#25104;&#29992;(sahchihata%20cloud)&#12304;2021.7&#26376;~&#12305;/01_&#32207;&#21209;&#30003;&#35531;&#26360;&#39006;&#12304;2021.7&#26376;~&#12305;/&#9321;%20&#25206;&#39178;&#23478;&#26063;&#22793;&#26356;&#23626;(&#24066;&#24029;)&#931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扶養家族変更届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006"/>
  <sheetViews>
    <sheetView showGridLines="0" tabSelected="1" topLeftCell="A24" zoomScaleNormal="100" zoomScaleSheetLayoutView="100" workbookViewId="0">
      <selection activeCell="P53" sqref="P53:P54"/>
    </sheetView>
  </sheetViews>
  <sheetFormatPr defaultColWidth="14.42578125" defaultRowHeight="15" customHeight="1"/>
  <cols>
    <col min="1" max="1" width="3.7109375" customWidth="1"/>
    <col min="2" max="2" width="3.42578125" customWidth="1"/>
    <col min="3" max="3" width="15.7109375" customWidth="1"/>
    <col min="4" max="9" width="7.85546875" customWidth="1"/>
    <col min="10" max="10" width="9.5703125" customWidth="1"/>
    <col min="11" max="11" width="9" customWidth="1"/>
    <col min="12" max="12" width="8.5703125" customWidth="1"/>
    <col min="13" max="14" width="7.85546875" customWidth="1"/>
    <col min="15" max="15" width="9.5703125" customWidth="1"/>
    <col min="16" max="16" width="4.85546875" customWidth="1"/>
    <col min="17" max="17" width="9.85546875" style="2" customWidth="1"/>
    <col min="18" max="18" width="9.5703125" style="2" customWidth="1"/>
    <col min="19" max="19" width="8.140625" style="2" bestFit="1" customWidth="1"/>
    <col min="20" max="20" width="7.5703125" style="16" customWidth="1"/>
    <col min="21" max="28" width="3.28515625" customWidth="1"/>
    <col min="30" max="30" width="14.42578125" style="53"/>
  </cols>
  <sheetData>
    <row r="1" spans="1:30" ht="33.75" customHeight="1">
      <c r="A1" s="59" t="s">
        <v>36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1"/>
      <c r="U1" s="2"/>
      <c r="V1" s="2"/>
      <c r="W1" s="2"/>
      <c r="X1" s="2"/>
      <c r="Y1" s="2"/>
      <c r="Z1" s="2"/>
      <c r="AA1" s="2"/>
      <c r="AB1" s="2"/>
    </row>
    <row r="2" spans="1:30" s="22" customFormat="1" ht="19.5">
      <c r="A2" s="24"/>
      <c r="G2" s="23"/>
      <c r="K2" s="28" t="s">
        <v>39</v>
      </c>
      <c r="L2" s="67">
        <v>46033</v>
      </c>
      <c r="M2" s="67"/>
      <c r="N2" s="67"/>
      <c r="O2" s="67"/>
      <c r="P2" s="23"/>
      <c r="Q2" s="23"/>
      <c r="R2" s="23"/>
      <c r="S2" s="23"/>
      <c r="T2" s="40"/>
      <c r="U2" s="23"/>
      <c r="V2" s="23"/>
      <c r="W2" s="23"/>
      <c r="X2" s="23"/>
      <c r="Y2" s="23"/>
      <c r="Z2" s="23"/>
      <c r="AA2" s="23"/>
      <c r="AD2" s="54"/>
    </row>
    <row r="3" spans="1:30" ht="7.5" customHeight="1">
      <c r="A3" s="2"/>
      <c r="B3" s="2"/>
      <c r="G3" s="2"/>
      <c r="H3" s="2"/>
      <c r="I3" s="2"/>
      <c r="J3" s="2"/>
      <c r="K3" s="2"/>
      <c r="L3" s="2"/>
      <c r="M3" s="2"/>
      <c r="N3" s="2"/>
      <c r="O3" s="2"/>
      <c r="P3" s="2"/>
      <c r="U3" s="2"/>
      <c r="V3" s="2"/>
      <c r="W3" s="2"/>
      <c r="X3" s="2"/>
      <c r="Y3" s="2"/>
      <c r="Z3" s="2"/>
      <c r="AA3" s="2"/>
      <c r="AB3" s="2"/>
    </row>
    <row r="4" spans="1:30" s="22" customFormat="1" ht="19.5">
      <c r="G4" s="23"/>
      <c r="I4" s="23"/>
      <c r="J4" s="41"/>
      <c r="K4" s="28" t="s">
        <v>40</v>
      </c>
      <c r="L4" s="66" t="str">
        <f>+YEAR(L2)&amp;"/"&amp;MONTH(L2+30)&amp;"/10"</f>
        <v>2026/2/10</v>
      </c>
      <c r="M4" s="66"/>
      <c r="N4" s="66"/>
      <c r="O4" s="66"/>
      <c r="P4" s="23"/>
      <c r="Q4" s="23"/>
      <c r="R4" s="23"/>
      <c r="S4" s="23"/>
      <c r="T4" s="40"/>
      <c r="U4" s="23"/>
      <c r="V4" s="23"/>
      <c r="W4" s="23"/>
      <c r="X4" s="23"/>
      <c r="Y4" s="23"/>
      <c r="Z4" s="23"/>
      <c r="AA4" s="23"/>
      <c r="AB4" s="23"/>
      <c r="AD4" s="54"/>
    </row>
    <row r="5" spans="1:30" ht="6.75" customHeight="1">
      <c r="A5" s="2"/>
      <c r="B5" s="2"/>
      <c r="C5" s="2"/>
      <c r="D5" s="2"/>
      <c r="E5" s="2"/>
      <c r="F5" s="2"/>
      <c r="G5" s="2"/>
      <c r="H5" s="2"/>
      <c r="J5" s="2"/>
      <c r="K5" s="2"/>
      <c r="L5" s="2"/>
      <c r="M5" s="2"/>
      <c r="N5" s="2"/>
      <c r="O5" s="2"/>
      <c r="P5" s="2"/>
      <c r="U5" s="2"/>
      <c r="V5" s="2"/>
      <c r="W5" s="2"/>
      <c r="X5" s="2"/>
      <c r="Y5" s="2"/>
      <c r="Z5" s="2"/>
      <c r="AA5" s="2"/>
      <c r="AB5" s="2"/>
    </row>
    <row r="6" spans="1:30" ht="21" customHeight="1">
      <c r="A6" s="2"/>
      <c r="B6" s="2"/>
      <c r="D6" s="64" t="s">
        <v>42</v>
      </c>
      <c r="E6" s="65"/>
      <c r="F6" s="68" t="s">
        <v>43</v>
      </c>
      <c r="G6" s="69"/>
      <c r="H6" s="22"/>
      <c r="L6" s="3" t="s">
        <v>0</v>
      </c>
      <c r="M6" s="61" t="str">
        <f>L4</f>
        <v>2026/2/10</v>
      </c>
      <c r="N6" s="56"/>
      <c r="O6" s="3" t="s">
        <v>1</v>
      </c>
      <c r="P6" s="2"/>
      <c r="W6" s="2"/>
      <c r="X6" s="2"/>
    </row>
    <row r="7" spans="1:30" ht="21" customHeight="1">
      <c r="A7" s="2"/>
      <c r="B7" s="2"/>
      <c r="D7" s="30" t="s">
        <v>54</v>
      </c>
      <c r="E7" s="30" t="s">
        <v>3</v>
      </c>
      <c r="F7" s="31" t="s">
        <v>2</v>
      </c>
      <c r="G7" s="31" t="s">
        <v>3</v>
      </c>
      <c r="L7" s="20" t="s">
        <v>4</v>
      </c>
      <c r="M7" s="62" t="s">
        <v>37</v>
      </c>
      <c r="N7" s="56"/>
      <c r="O7" s="5"/>
      <c r="P7" s="2"/>
      <c r="W7" s="2"/>
      <c r="X7" s="2"/>
      <c r="Y7" s="2"/>
      <c r="Z7" s="2"/>
      <c r="AA7" s="2"/>
      <c r="AB7" s="2"/>
    </row>
    <row r="8" spans="1:30" ht="21" customHeight="1">
      <c r="A8" s="2"/>
      <c r="B8" s="2"/>
      <c r="D8" s="6">
        <v>0.27083333333333331</v>
      </c>
      <c r="E8" s="6">
        <v>0.64583333333333337</v>
      </c>
      <c r="F8" s="6">
        <v>0.33333333333333331</v>
      </c>
      <c r="G8" s="6">
        <v>0.70833333333333337</v>
      </c>
      <c r="L8" s="3" t="s">
        <v>5</v>
      </c>
      <c r="M8" s="62" t="s">
        <v>38</v>
      </c>
      <c r="N8" s="56"/>
      <c r="O8" s="7"/>
      <c r="P8" s="2"/>
      <c r="Q8" s="2" t="s">
        <v>55</v>
      </c>
      <c r="W8" s="2"/>
      <c r="X8" s="2"/>
      <c r="Y8" s="2"/>
      <c r="Z8" s="2"/>
      <c r="AA8" s="2"/>
      <c r="AB8" s="2"/>
    </row>
    <row r="9" spans="1:30" ht="18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U9" s="2"/>
      <c r="V9" s="2"/>
      <c r="W9" s="2"/>
      <c r="X9" s="2"/>
      <c r="Y9" s="2"/>
      <c r="Z9" s="2"/>
      <c r="AA9" s="2"/>
      <c r="AB9" s="2"/>
    </row>
    <row r="10" spans="1:30" ht="34.5" customHeight="1">
      <c r="A10" s="63" t="s">
        <v>0</v>
      </c>
      <c r="B10" s="56"/>
      <c r="C10" s="27" t="s">
        <v>6</v>
      </c>
      <c r="D10" s="26" t="s">
        <v>46</v>
      </c>
      <c r="E10" s="26" t="s">
        <v>47</v>
      </c>
      <c r="F10" s="26" t="s">
        <v>51</v>
      </c>
      <c r="G10" s="36" t="s">
        <v>52</v>
      </c>
      <c r="H10" s="26" t="s">
        <v>48</v>
      </c>
      <c r="I10" s="21" t="s">
        <v>49</v>
      </c>
      <c r="J10" s="21" t="s">
        <v>65</v>
      </c>
      <c r="K10" s="21" t="s">
        <v>53</v>
      </c>
      <c r="L10" s="21" t="s">
        <v>50</v>
      </c>
      <c r="M10" s="8" t="s">
        <v>7</v>
      </c>
      <c r="N10" s="8" t="s">
        <v>8</v>
      </c>
      <c r="O10" s="27" t="s">
        <v>9</v>
      </c>
      <c r="P10" s="2"/>
      <c r="Q10" s="38" t="s">
        <v>58</v>
      </c>
      <c r="R10" s="38" t="s">
        <v>59</v>
      </c>
      <c r="S10" s="38" t="s">
        <v>57</v>
      </c>
      <c r="T10" s="39" t="s">
        <v>56</v>
      </c>
      <c r="U10" s="2"/>
      <c r="V10" s="2"/>
      <c r="W10" s="2"/>
      <c r="X10" s="2"/>
      <c r="Y10" s="2"/>
      <c r="Z10" s="2"/>
      <c r="AA10" s="2"/>
      <c r="AB10" s="2"/>
    </row>
    <row r="11" spans="1:30" ht="18.75" customHeight="1">
      <c r="A11" s="9">
        <f>L2</f>
        <v>46033</v>
      </c>
      <c r="B11" s="10">
        <f>L2</f>
        <v>46033</v>
      </c>
      <c r="C11" s="33" t="s">
        <v>18</v>
      </c>
      <c r="D11" s="34"/>
      <c r="E11" s="34"/>
      <c r="F11" s="6"/>
      <c r="G11" s="6" t="str">
        <f>IF(D11="","",I11-F11)</f>
        <v/>
      </c>
      <c r="H11" s="34">
        <v>4.1666666666666664E-2</v>
      </c>
      <c r="I11" s="6" t="str">
        <f>IF(D11="","",E11-D11-H11)</f>
        <v/>
      </c>
      <c r="J11" s="42" t="str">
        <f>IF(OR(C11="出勤①",C11="出勤②"),
    IF(I11&lt;&gt;"",IF(I11-TIME(8,0,0)&gt;TIME(0,1,0),I11-TIME(8,0,0),""),""),
    IF(OR(C11="法定休日出勤",C11="所定休日出勤"),
        I11,
        IF(OR(C11="午前有給",C11="午後有給"),
            IF(I11&lt;&gt;"",IF(I11-TIME(4,0,0)&gt;TIME(0,1,0),I11-TIME(4,0,0),""),""),
            ""
        )
    )
)</f>
        <v/>
      </c>
      <c r="K11" s="6"/>
      <c r="L11" s="6" t="str">
        <f t="shared" ref="L11:L37" si="0">IF(D11="","",IF(D11&lt;TIME(5,0,0),($D$8-D11)-(TIME(5,0,0)-D11),IF(D11&gt;=$D$8,"",$D$8-D11)))</f>
        <v/>
      </c>
      <c r="M11" s="25"/>
      <c r="N11" s="6" t="str">
        <f t="shared" ref="N11:N40" si="1">IF(D11="","",_xlfn.IFS(C11="出勤①",IF(E11&lt;$E$8,$E$8-E11,""),C11="出勤②",IF(E11&lt;$G$8,$G$8-E11,""),TRUE,""))</f>
        <v/>
      </c>
      <c r="O11" s="12"/>
      <c r="P11" s="2"/>
      <c r="Q11" s="37" t="str">
        <f>IF(D11="","",AVERAGE(F11))</f>
        <v/>
      </c>
      <c r="R11" s="37" t="str">
        <f t="shared" ref="R11:R34" si="2">IF(D11="","",AVERAGE(F11:F12))</f>
        <v/>
      </c>
      <c r="S11" s="37">
        <f>+MIN(Q11:R11)</f>
        <v>0</v>
      </c>
      <c r="T11" s="39" t="str">
        <f>+IF(S11&gt;(9/24),"NG","OK")</f>
        <v>OK</v>
      </c>
      <c r="U11" s="2"/>
      <c r="V11" s="2"/>
      <c r="W11" s="2"/>
      <c r="X11" s="2"/>
      <c r="Y11" s="2"/>
      <c r="Z11" s="2"/>
      <c r="AA11" s="2"/>
      <c r="AB11" s="2"/>
      <c r="AD11" s="53">
        <v>0.22916666666666666</v>
      </c>
    </row>
    <row r="12" spans="1:30" ht="18.75" customHeight="1">
      <c r="A12" s="9">
        <f>IF(A11="","",A11+1)</f>
        <v>46034</v>
      </c>
      <c r="B12" s="10">
        <f>IF(B11="","",B11+1)</f>
        <v>46034</v>
      </c>
      <c r="C12" s="33" t="s">
        <v>18</v>
      </c>
      <c r="D12" s="34"/>
      <c r="E12" s="34"/>
      <c r="F12" s="6"/>
      <c r="G12" s="6" t="str">
        <f>IF(D12="","",I12-F12)</f>
        <v/>
      </c>
      <c r="H12" s="34">
        <v>4.1666666666666664E-2</v>
      </c>
      <c r="I12" s="6" t="str">
        <f>IF(D12="","",E12-D12-H12)</f>
        <v/>
      </c>
      <c r="J12" s="42" t="str">
        <f t="shared" ref="J12:J41" si="3">IF(OR(C12="出勤①",C12="出勤②"),
    IF(I12&lt;&gt;"",IF(I12-TIME(8,0,0)&gt;TIME(0,1,0),I12-TIME(8,0,0),""),""),
    IF(OR(C12="法定休日出勤",C12="所定休日出勤"),
        I12,
        IF(OR(C12="午前有給",C12="午後有給"),
            IF(I12&lt;&gt;"",IF(I12-TIME(4,0,0)&gt;TIME(0,1,0),I12-TIME(4,0,0),""),""),
            ""
        )
    )
)</f>
        <v/>
      </c>
      <c r="K12" s="6"/>
      <c r="L12" s="6" t="str">
        <f t="shared" si="0"/>
        <v/>
      </c>
      <c r="M12" s="25"/>
      <c r="N12" s="6" t="str">
        <f t="shared" si="1"/>
        <v/>
      </c>
      <c r="O12" s="12"/>
      <c r="P12" s="2"/>
      <c r="Q12" s="37" t="str">
        <f>IF(D12="","",AVERAGE(F11:F12))</f>
        <v/>
      </c>
      <c r="R12" s="37" t="str">
        <f t="shared" si="2"/>
        <v/>
      </c>
      <c r="S12" s="37">
        <f>+MIN(Q12:R12)</f>
        <v>0</v>
      </c>
      <c r="T12" s="39" t="str">
        <f t="shared" ref="T12:T46" si="4">+IF(S12&gt;(9/24),"NG","OK")</f>
        <v>OK</v>
      </c>
      <c r="U12" s="2"/>
      <c r="V12" s="2"/>
      <c r="W12" s="2"/>
      <c r="X12" s="2"/>
      <c r="Y12" s="2"/>
      <c r="Z12" s="2"/>
      <c r="AA12" s="2"/>
      <c r="AB12" s="2"/>
      <c r="AD12" s="53">
        <v>0.25</v>
      </c>
    </row>
    <row r="13" spans="1:30" ht="18.75" customHeight="1">
      <c r="A13" s="9">
        <f t="shared" ref="A13:A46" si="5">IF(A12="","",A12+1)</f>
        <v>46035</v>
      </c>
      <c r="B13" s="10">
        <f t="shared" ref="B13:B46" si="6">IF(B12="","",B12+1)</f>
        <v>46035</v>
      </c>
      <c r="C13" s="33" t="s">
        <v>85</v>
      </c>
      <c r="D13" s="34">
        <v>0.27083333333333331</v>
      </c>
      <c r="E13" s="34">
        <v>0.70833333333333337</v>
      </c>
      <c r="F13" s="6">
        <v>0.29166666666666669</v>
      </c>
      <c r="G13" s="6">
        <f>IF(D13="","",I13-F13)</f>
        <v>0.10416666666666669</v>
      </c>
      <c r="H13" s="34">
        <v>4.1666666666666664E-2</v>
      </c>
      <c r="I13" s="6">
        <f>IF(D13="","",E13-D13-H13)</f>
        <v>0.39583333333333337</v>
      </c>
      <c r="J13" s="42">
        <f>IF(OR(C13="出勤①",C13="出勤②"),
    IF(I13&lt;&gt;"",IF(I13-TIME(8,0,0)&gt;TIME(0,1,0),I13-TIME(8,0,0),""),""),
    IF(OR(C13="法定休日出勤",C13="所定休日出勤"),
        I13,
        IF(OR(C13="午前有給",C13="午後有給"),
           [1]扶養家族変更届!$J$16 IF(I13&lt;&gt;"",IF(I13-TIME(4,0,0)&gt;TIME(0,1,0),I13-TIME(4,0,0),""),""),
            ""
        )
    )
)</f>
        <v>6.2500000000000056E-2</v>
      </c>
      <c r="K13" s="6"/>
      <c r="L13" s="6" t="str">
        <f>IF(D13="","",IF(D13&lt;TIME(5,0,0),($D$8-D13)-(TIME(5,0,0)-D13),IF(D13&gt;=$D$8,"",$D$8-D13)))</f>
        <v/>
      </c>
      <c r="M13" s="25"/>
      <c r="N13" s="6" t="str">
        <f t="shared" si="1"/>
        <v/>
      </c>
      <c r="O13" s="12"/>
      <c r="P13" s="2"/>
      <c r="Q13" s="37">
        <f t="shared" ref="Q13:Q34" si="7">IF(D13="","",AVERAGE(F12:F13))</f>
        <v>0.29166666666666669</v>
      </c>
      <c r="R13" s="37">
        <f t="shared" si="2"/>
        <v>0.29166666666666669</v>
      </c>
      <c r="S13" s="37">
        <f>+MIN(Q13:R13)</f>
        <v>0.29166666666666669</v>
      </c>
      <c r="T13" s="39" t="str">
        <f t="shared" si="4"/>
        <v>OK</v>
      </c>
      <c r="U13" s="2"/>
      <c r="V13" s="2"/>
      <c r="W13" s="2"/>
      <c r="X13" s="2"/>
      <c r="Y13" s="2"/>
      <c r="Z13" s="2"/>
      <c r="AA13" s="2"/>
      <c r="AB13" s="2"/>
      <c r="AD13" s="53">
        <v>0.29166666666666669</v>
      </c>
    </row>
    <row r="14" spans="1:30" ht="18.75" customHeight="1">
      <c r="A14" s="9">
        <f t="shared" si="5"/>
        <v>46036</v>
      </c>
      <c r="B14" s="10">
        <f t="shared" si="6"/>
        <v>46036</v>
      </c>
      <c r="C14" s="33" t="s">
        <v>85</v>
      </c>
      <c r="D14" s="35">
        <v>0.25</v>
      </c>
      <c r="E14" s="34">
        <v>0.70833333333333337</v>
      </c>
      <c r="F14" s="6">
        <v>0.29166666666666669</v>
      </c>
      <c r="G14" s="6">
        <f t="shared" ref="G14:G46" si="8">IF(D14="","",I14-F14)</f>
        <v>0.125</v>
      </c>
      <c r="H14" s="35">
        <v>4.1666666666666664E-2</v>
      </c>
      <c r="I14" s="6">
        <f>IF(D14="","",E14-D14-H14)</f>
        <v>0.41666666666666669</v>
      </c>
      <c r="J14" s="42">
        <f t="shared" si="3"/>
        <v>8.333333333333337E-2</v>
      </c>
      <c r="K14" s="6"/>
      <c r="L14" s="6">
        <f t="shared" si="0"/>
        <v>2.0833333333333315E-2</v>
      </c>
      <c r="M14" s="25"/>
      <c r="N14" s="6" t="str">
        <f t="shared" si="1"/>
        <v/>
      </c>
      <c r="O14" s="12"/>
      <c r="P14" s="2"/>
      <c r="Q14" s="37">
        <f t="shared" si="7"/>
        <v>0.29166666666666669</v>
      </c>
      <c r="R14" s="37">
        <f t="shared" si="2"/>
        <v>0.30208333333333337</v>
      </c>
      <c r="S14" s="37">
        <f t="shared" ref="S14:S15" si="9">+MIN(Q14:R14)</f>
        <v>0.29166666666666669</v>
      </c>
      <c r="T14" s="39" t="str">
        <f t="shared" si="4"/>
        <v>OK</v>
      </c>
      <c r="U14" s="2"/>
      <c r="V14" s="2"/>
      <c r="W14" s="2"/>
      <c r="X14" s="2"/>
      <c r="Y14" s="2"/>
      <c r="Z14" s="2"/>
      <c r="AA14" s="2"/>
      <c r="AB14" s="2"/>
      <c r="AD14" s="53">
        <v>0.3125</v>
      </c>
    </row>
    <row r="15" spans="1:30" ht="18.75" customHeight="1">
      <c r="A15" s="9">
        <f t="shared" si="5"/>
        <v>46037</v>
      </c>
      <c r="B15" s="10">
        <f t="shared" si="6"/>
        <v>46037</v>
      </c>
      <c r="C15" s="33" t="s">
        <v>85</v>
      </c>
      <c r="D15" s="35">
        <v>0.27083333333333331</v>
      </c>
      <c r="E15" s="35">
        <v>0.75</v>
      </c>
      <c r="F15" s="6">
        <v>0.3125</v>
      </c>
      <c r="G15" s="6">
        <f t="shared" si="8"/>
        <v>0.125</v>
      </c>
      <c r="H15" s="35">
        <v>4.1666666666666664E-2</v>
      </c>
      <c r="I15" s="6">
        <f t="shared" ref="I15:I46" si="10">IF(D15="","",E15-D15-H15)</f>
        <v>0.4375</v>
      </c>
      <c r="J15" s="42">
        <f t="shared" si="3"/>
        <v>0.10416666666666669</v>
      </c>
      <c r="K15" s="6"/>
      <c r="L15" s="6" t="str">
        <f t="shared" si="0"/>
        <v/>
      </c>
      <c r="M15" s="25"/>
      <c r="N15" s="6" t="str">
        <f t="shared" si="1"/>
        <v/>
      </c>
      <c r="O15" s="12"/>
      <c r="P15" s="2"/>
      <c r="Q15" s="37">
        <f t="shared" si="7"/>
        <v>0.30208333333333337</v>
      </c>
      <c r="R15" s="37">
        <f t="shared" si="2"/>
        <v>0.30208333333333337</v>
      </c>
      <c r="S15" s="37">
        <f t="shared" si="9"/>
        <v>0.30208333333333337</v>
      </c>
      <c r="T15" s="39" t="str">
        <f t="shared" si="4"/>
        <v>OK</v>
      </c>
      <c r="U15" s="2"/>
      <c r="V15" s="2"/>
      <c r="W15" s="2"/>
      <c r="X15" s="2"/>
      <c r="Y15" s="2"/>
      <c r="Z15" s="2"/>
      <c r="AA15" s="2"/>
      <c r="AB15" s="2"/>
      <c r="AD15" s="53">
        <v>0.375</v>
      </c>
    </row>
    <row r="16" spans="1:30" ht="18.75" customHeight="1">
      <c r="A16" s="9">
        <f t="shared" si="5"/>
        <v>46038</v>
      </c>
      <c r="B16" s="10">
        <f t="shared" si="6"/>
        <v>46038</v>
      </c>
      <c r="C16" s="33" t="s">
        <v>85</v>
      </c>
      <c r="D16" s="35">
        <v>0.27083333333333331</v>
      </c>
      <c r="E16" s="35">
        <v>0.72916666666666663</v>
      </c>
      <c r="F16" s="6">
        <v>0.29166666666666669</v>
      </c>
      <c r="G16" s="6">
        <f t="shared" si="8"/>
        <v>0.12499999999999994</v>
      </c>
      <c r="H16" s="34">
        <v>4.1666666666666664E-2</v>
      </c>
      <c r="I16" s="6">
        <f t="shared" si="10"/>
        <v>0.41666666666666663</v>
      </c>
      <c r="J16" s="42">
        <f t="shared" si="3"/>
        <v>8.3333333333333315E-2</v>
      </c>
      <c r="K16" s="6"/>
      <c r="L16" s="6" t="str">
        <f t="shared" si="0"/>
        <v/>
      </c>
      <c r="M16" s="25"/>
      <c r="N16" s="6" t="str">
        <f t="shared" si="1"/>
        <v/>
      </c>
      <c r="O16" s="12"/>
      <c r="P16" s="2"/>
      <c r="Q16" s="37">
        <f t="shared" si="7"/>
        <v>0.30208333333333337</v>
      </c>
      <c r="R16" s="37">
        <f t="shared" si="2"/>
        <v>0.29166666666666669</v>
      </c>
      <c r="S16" s="37">
        <f t="shared" ref="S16:S46" si="11">+MIN(Q16:R16)</f>
        <v>0.29166666666666669</v>
      </c>
      <c r="T16" s="39" t="str">
        <f t="shared" si="4"/>
        <v>OK</v>
      </c>
      <c r="U16" s="2"/>
      <c r="V16" s="2"/>
      <c r="W16" s="2"/>
      <c r="X16" s="2"/>
      <c r="Y16" s="2"/>
      <c r="Z16" s="2"/>
      <c r="AA16" s="2"/>
      <c r="AB16" s="2"/>
      <c r="AD16" s="53">
        <v>0.66666666666666663</v>
      </c>
    </row>
    <row r="17" spans="1:30" ht="18.75" customHeight="1">
      <c r="A17" s="9">
        <f t="shared" si="5"/>
        <v>46039</v>
      </c>
      <c r="B17" s="10">
        <f t="shared" si="6"/>
        <v>46039</v>
      </c>
      <c r="C17" s="33" t="s">
        <v>18</v>
      </c>
      <c r="D17" s="34"/>
      <c r="E17" s="35"/>
      <c r="F17" s="6"/>
      <c r="G17" s="6" t="str">
        <f t="shared" si="8"/>
        <v/>
      </c>
      <c r="H17" s="34">
        <v>4.1666666666666664E-2</v>
      </c>
      <c r="I17" s="6" t="str">
        <f t="shared" si="10"/>
        <v/>
      </c>
      <c r="J17" s="42" t="str">
        <f t="shared" si="3"/>
        <v/>
      </c>
      <c r="K17" s="6"/>
      <c r="L17" s="6" t="str">
        <f t="shared" si="0"/>
        <v/>
      </c>
      <c r="M17" s="25"/>
      <c r="N17" s="6" t="str">
        <f t="shared" si="1"/>
        <v/>
      </c>
      <c r="O17" s="12"/>
      <c r="P17" s="2"/>
      <c r="Q17" s="37" t="str">
        <f t="shared" si="7"/>
        <v/>
      </c>
      <c r="R17" s="37" t="str">
        <f t="shared" si="2"/>
        <v/>
      </c>
      <c r="S17" s="37">
        <f t="shared" si="11"/>
        <v>0</v>
      </c>
      <c r="T17" s="39" t="str">
        <f t="shared" si="4"/>
        <v>OK</v>
      </c>
      <c r="U17" s="2"/>
      <c r="V17" s="2"/>
      <c r="W17" s="2"/>
      <c r="X17" s="2"/>
      <c r="Y17" s="2"/>
      <c r="Z17" s="2"/>
      <c r="AA17" s="2"/>
      <c r="AB17" s="2"/>
      <c r="AD17" s="53">
        <v>0.6875</v>
      </c>
    </row>
    <row r="18" spans="1:30" ht="18.75" customHeight="1">
      <c r="A18" s="9">
        <f t="shared" si="5"/>
        <v>46040</v>
      </c>
      <c r="B18" s="10">
        <f t="shared" si="6"/>
        <v>46040</v>
      </c>
      <c r="C18" s="33" t="s">
        <v>18</v>
      </c>
      <c r="D18" s="34"/>
      <c r="E18" s="35"/>
      <c r="F18" s="6"/>
      <c r="G18" s="6" t="str">
        <f t="shared" si="8"/>
        <v/>
      </c>
      <c r="H18" s="34">
        <v>4.1666666666666664E-2</v>
      </c>
      <c r="I18" s="6" t="str">
        <f t="shared" si="10"/>
        <v/>
      </c>
      <c r="J18" s="42" t="str">
        <f t="shared" si="3"/>
        <v/>
      </c>
      <c r="K18" s="6"/>
      <c r="L18" s="6" t="str">
        <f t="shared" si="0"/>
        <v/>
      </c>
      <c r="M18" s="25"/>
      <c r="N18" s="6" t="str">
        <f t="shared" si="1"/>
        <v/>
      </c>
      <c r="O18" s="12"/>
      <c r="P18" s="2"/>
      <c r="Q18" s="37" t="str">
        <f t="shared" si="7"/>
        <v/>
      </c>
      <c r="R18" s="37" t="str">
        <f t="shared" si="2"/>
        <v/>
      </c>
      <c r="S18" s="37">
        <f t="shared" si="11"/>
        <v>0</v>
      </c>
      <c r="T18" s="39" t="str">
        <f t="shared" si="4"/>
        <v>OK</v>
      </c>
      <c r="U18" s="2"/>
      <c r="V18" s="2"/>
      <c r="W18" s="2"/>
      <c r="X18" s="2"/>
      <c r="Y18" s="2"/>
      <c r="Z18" s="2"/>
      <c r="AA18" s="2"/>
      <c r="AB18" s="2"/>
      <c r="AD18" s="53">
        <v>0.72916666666666663</v>
      </c>
    </row>
    <row r="19" spans="1:30" ht="18.75" customHeight="1">
      <c r="A19" s="9">
        <f t="shared" si="5"/>
        <v>46041</v>
      </c>
      <c r="B19" s="10">
        <f t="shared" si="6"/>
        <v>46041</v>
      </c>
      <c r="C19" s="33" t="s">
        <v>85</v>
      </c>
      <c r="D19" s="34">
        <v>0.25</v>
      </c>
      <c r="E19" s="34">
        <v>0.6875</v>
      </c>
      <c r="F19" s="6">
        <v>0.29166666666666669</v>
      </c>
      <c r="G19" s="6">
        <f t="shared" si="8"/>
        <v>0.10416666666666663</v>
      </c>
      <c r="H19" s="34">
        <v>4.1666666666666664E-2</v>
      </c>
      <c r="I19" s="6">
        <f t="shared" si="10"/>
        <v>0.39583333333333331</v>
      </c>
      <c r="J19" s="42">
        <f t="shared" si="3"/>
        <v>6.25E-2</v>
      </c>
      <c r="K19" s="6"/>
      <c r="L19" s="6">
        <f t="shared" si="0"/>
        <v>2.0833333333333315E-2</v>
      </c>
      <c r="M19" s="25"/>
      <c r="N19" s="6" t="str">
        <f t="shared" si="1"/>
        <v/>
      </c>
      <c r="O19" s="12"/>
      <c r="P19" s="2"/>
      <c r="Q19" s="37">
        <f t="shared" si="7"/>
        <v>0.29166666666666669</v>
      </c>
      <c r="R19" s="37">
        <f t="shared" si="2"/>
        <v>0.29166666666666669</v>
      </c>
      <c r="S19" s="37">
        <f t="shared" si="11"/>
        <v>0.29166666666666669</v>
      </c>
      <c r="T19" s="39" t="str">
        <f t="shared" si="4"/>
        <v>OK</v>
      </c>
      <c r="U19" s="2"/>
      <c r="V19" s="2"/>
      <c r="W19" s="2"/>
      <c r="X19" s="2"/>
      <c r="Y19" s="2"/>
      <c r="Z19" s="2"/>
      <c r="AA19" s="2"/>
      <c r="AB19" s="2"/>
      <c r="AD19" s="53">
        <v>0.75</v>
      </c>
    </row>
    <row r="20" spans="1:30" ht="18.75" customHeight="1">
      <c r="A20" s="9">
        <f t="shared" si="5"/>
        <v>46042</v>
      </c>
      <c r="B20" s="10">
        <f t="shared" si="6"/>
        <v>46042</v>
      </c>
      <c r="C20" s="33" t="s">
        <v>85</v>
      </c>
      <c r="D20" s="34">
        <v>0.25</v>
      </c>
      <c r="E20" s="34">
        <v>0.70833333333333337</v>
      </c>
      <c r="F20" s="6">
        <v>0.29166666666666669</v>
      </c>
      <c r="G20" s="6">
        <f t="shared" si="8"/>
        <v>0.125</v>
      </c>
      <c r="H20" s="34">
        <v>4.1666666666666664E-2</v>
      </c>
      <c r="I20" s="6">
        <f t="shared" si="10"/>
        <v>0.41666666666666669</v>
      </c>
      <c r="J20" s="42">
        <f t="shared" si="3"/>
        <v>8.333333333333337E-2</v>
      </c>
      <c r="K20" s="6"/>
      <c r="L20" s="6">
        <f t="shared" si="0"/>
        <v>2.0833333333333315E-2</v>
      </c>
      <c r="M20" s="25"/>
      <c r="N20" s="6" t="str">
        <f t="shared" si="1"/>
        <v/>
      </c>
      <c r="O20" s="12"/>
      <c r="P20" s="2"/>
      <c r="Q20" s="37">
        <f t="shared" si="7"/>
        <v>0.29166666666666669</v>
      </c>
      <c r="R20" s="37">
        <f t="shared" si="2"/>
        <v>0.29166666666666669</v>
      </c>
      <c r="S20" s="37">
        <f t="shared" si="11"/>
        <v>0.29166666666666669</v>
      </c>
      <c r="T20" s="39" t="str">
        <f t="shared" si="4"/>
        <v>OK</v>
      </c>
      <c r="U20" s="2"/>
      <c r="V20" s="2"/>
      <c r="W20" s="2"/>
      <c r="X20" s="2"/>
      <c r="Y20" s="2"/>
      <c r="Z20" s="2"/>
      <c r="AA20" s="2"/>
      <c r="AB20" s="2"/>
      <c r="AD20" s="53">
        <v>0.77083333333333337</v>
      </c>
    </row>
    <row r="21" spans="1:30" ht="18.75" customHeight="1">
      <c r="A21" s="9">
        <f t="shared" si="5"/>
        <v>46043</v>
      </c>
      <c r="B21" s="10">
        <f t="shared" si="6"/>
        <v>46043</v>
      </c>
      <c r="C21" s="33" t="s">
        <v>85</v>
      </c>
      <c r="D21" s="34">
        <v>0.25</v>
      </c>
      <c r="E21" s="34">
        <v>0.6875</v>
      </c>
      <c r="F21" s="6">
        <v>0.29166666666666669</v>
      </c>
      <c r="G21" s="6">
        <f t="shared" si="8"/>
        <v>0.10416666666666663</v>
      </c>
      <c r="H21" s="34">
        <v>4.1666666666666664E-2</v>
      </c>
      <c r="I21" s="6">
        <f t="shared" si="10"/>
        <v>0.39583333333333331</v>
      </c>
      <c r="J21" s="42">
        <f t="shared" si="3"/>
        <v>6.25E-2</v>
      </c>
      <c r="K21" s="6"/>
      <c r="L21" s="6">
        <f t="shared" si="0"/>
        <v>2.0833333333333315E-2</v>
      </c>
      <c r="M21" s="25"/>
      <c r="N21" s="6" t="str">
        <f t="shared" si="1"/>
        <v/>
      </c>
      <c r="O21" s="12"/>
      <c r="P21" s="2"/>
      <c r="Q21" s="37">
        <f t="shared" si="7"/>
        <v>0.29166666666666669</v>
      </c>
      <c r="R21" s="37">
        <f t="shared" si="2"/>
        <v>0.29166666666666669</v>
      </c>
      <c r="S21" s="37">
        <f t="shared" si="11"/>
        <v>0.29166666666666669</v>
      </c>
      <c r="T21" s="39" t="str">
        <f t="shared" si="4"/>
        <v>OK</v>
      </c>
      <c r="U21" s="2"/>
      <c r="V21" s="2"/>
      <c r="W21" s="2"/>
      <c r="X21" s="2"/>
      <c r="Y21" s="2"/>
      <c r="Z21" s="2"/>
      <c r="AA21" s="2"/>
      <c r="AB21" s="2"/>
    </row>
    <row r="22" spans="1:30" ht="18.75" customHeight="1">
      <c r="A22" s="9">
        <f t="shared" si="5"/>
        <v>46044</v>
      </c>
      <c r="B22" s="10">
        <f t="shared" si="6"/>
        <v>46044</v>
      </c>
      <c r="C22" s="33" t="s">
        <v>85</v>
      </c>
      <c r="D22" s="34">
        <v>0.27083333333333331</v>
      </c>
      <c r="E22" s="34">
        <v>0.70833333333333337</v>
      </c>
      <c r="F22" s="6">
        <v>0.29166666666666669</v>
      </c>
      <c r="G22" s="6">
        <f t="shared" si="8"/>
        <v>0.10416666666666669</v>
      </c>
      <c r="H22" s="34">
        <v>4.1666666666666664E-2</v>
      </c>
      <c r="I22" s="6">
        <f t="shared" si="10"/>
        <v>0.39583333333333337</v>
      </c>
      <c r="J22" s="42">
        <f t="shared" si="3"/>
        <v>6.2500000000000056E-2</v>
      </c>
      <c r="K22" s="6"/>
      <c r="L22" s="6" t="str">
        <f t="shared" si="0"/>
        <v/>
      </c>
      <c r="M22" s="25"/>
      <c r="N22" s="6" t="str">
        <f t="shared" si="1"/>
        <v/>
      </c>
      <c r="O22" s="12"/>
      <c r="P22" s="2"/>
      <c r="Q22" s="37">
        <f t="shared" si="7"/>
        <v>0.29166666666666669</v>
      </c>
      <c r="R22" s="37">
        <f t="shared" si="2"/>
        <v>0.28125</v>
      </c>
      <c r="S22" s="37">
        <f t="shared" si="11"/>
        <v>0.28125</v>
      </c>
      <c r="T22" s="39" t="str">
        <f t="shared" si="4"/>
        <v>OK</v>
      </c>
      <c r="U22" s="2"/>
      <c r="V22" s="2"/>
      <c r="W22" s="2"/>
      <c r="X22" s="2"/>
      <c r="Y22" s="2"/>
      <c r="Z22" s="2"/>
      <c r="AA22" s="2"/>
      <c r="AB22" s="2"/>
    </row>
    <row r="23" spans="1:30" ht="18.75" customHeight="1">
      <c r="A23" s="9">
        <f t="shared" si="5"/>
        <v>46045</v>
      </c>
      <c r="B23" s="10">
        <f t="shared" si="6"/>
        <v>46045</v>
      </c>
      <c r="C23" s="33" t="s">
        <v>85</v>
      </c>
      <c r="D23" s="34">
        <v>0.27083333333333331</v>
      </c>
      <c r="E23" s="34">
        <v>0.6875</v>
      </c>
      <c r="F23" s="6">
        <v>0.27083333333333331</v>
      </c>
      <c r="G23" s="6">
        <f t="shared" si="8"/>
        <v>0.10416666666666669</v>
      </c>
      <c r="H23" s="34">
        <v>4.1666666666666664E-2</v>
      </c>
      <c r="I23" s="6">
        <f t="shared" si="10"/>
        <v>0.375</v>
      </c>
      <c r="J23" s="42">
        <f t="shared" si="3"/>
        <v>4.1666666666666685E-2</v>
      </c>
      <c r="K23" s="6"/>
      <c r="L23" s="6" t="str">
        <f t="shared" si="0"/>
        <v/>
      </c>
      <c r="M23" s="25"/>
      <c r="N23" s="6" t="str">
        <f t="shared" si="1"/>
        <v/>
      </c>
      <c r="O23" s="12"/>
      <c r="P23" s="2"/>
      <c r="Q23" s="37">
        <f t="shared" si="7"/>
        <v>0.28125</v>
      </c>
      <c r="R23" s="37">
        <f t="shared" si="2"/>
        <v>0.27083333333333331</v>
      </c>
      <c r="S23" s="37">
        <f t="shared" si="11"/>
        <v>0.27083333333333331</v>
      </c>
      <c r="T23" s="39" t="str">
        <f t="shared" si="4"/>
        <v>OK</v>
      </c>
      <c r="U23" s="2"/>
      <c r="V23" s="2"/>
      <c r="W23" s="2"/>
      <c r="X23" s="2"/>
      <c r="Y23" s="2"/>
      <c r="Z23" s="2"/>
      <c r="AA23" s="2"/>
      <c r="AB23" s="2"/>
    </row>
    <row r="24" spans="1:30" ht="18.75" customHeight="1">
      <c r="A24" s="9">
        <f t="shared" si="5"/>
        <v>46046</v>
      </c>
      <c r="B24" s="10">
        <f t="shared" si="6"/>
        <v>46046</v>
      </c>
      <c r="C24" s="33" t="s">
        <v>86</v>
      </c>
      <c r="D24" s="34">
        <v>0.33333333333333331</v>
      </c>
      <c r="E24" s="34">
        <v>0.70833333333333337</v>
      </c>
      <c r="F24" s="6">
        <v>0.27083333333333331</v>
      </c>
      <c r="G24" s="6">
        <f t="shared" si="8"/>
        <v>6.2500000000000056E-2</v>
      </c>
      <c r="H24" s="34">
        <v>4.1666666666666664E-2</v>
      </c>
      <c r="I24" s="6">
        <f t="shared" si="10"/>
        <v>0.33333333333333337</v>
      </c>
      <c r="J24" s="42" t="str">
        <f t="shared" si="3"/>
        <v/>
      </c>
      <c r="K24" s="6"/>
      <c r="L24" s="6" t="str">
        <f t="shared" si="0"/>
        <v/>
      </c>
      <c r="M24" s="25"/>
      <c r="N24" s="6" t="str">
        <f t="shared" si="1"/>
        <v/>
      </c>
      <c r="O24" s="12"/>
      <c r="P24" s="2"/>
      <c r="Q24" s="37">
        <f t="shared" si="7"/>
        <v>0.27083333333333331</v>
      </c>
      <c r="R24" s="37">
        <f t="shared" si="2"/>
        <v>0.27083333333333331</v>
      </c>
      <c r="S24" s="37">
        <f t="shared" si="11"/>
        <v>0.27083333333333331</v>
      </c>
      <c r="T24" s="39" t="str">
        <f t="shared" si="4"/>
        <v>OK</v>
      </c>
      <c r="U24" s="2"/>
      <c r="V24" s="2"/>
      <c r="W24" s="2"/>
      <c r="X24" s="2"/>
      <c r="Y24" s="2"/>
      <c r="Z24" s="2"/>
      <c r="AA24" s="2"/>
      <c r="AB24" s="2"/>
    </row>
    <row r="25" spans="1:30" ht="18.75" customHeight="1">
      <c r="A25" s="9">
        <f t="shared" si="5"/>
        <v>46047</v>
      </c>
      <c r="B25" s="10">
        <f t="shared" si="6"/>
        <v>46047</v>
      </c>
      <c r="C25" s="33" t="s">
        <v>18</v>
      </c>
      <c r="D25" s="34"/>
      <c r="E25" s="34"/>
      <c r="F25" s="6"/>
      <c r="G25" s="6" t="str">
        <f t="shared" si="8"/>
        <v/>
      </c>
      <c r="H25" s="34">
        <v>4.1666666666666664E-2</v>
      </c>
      <c r="I25" s="6" t="str">
        <f t="shared" si="10"/>
        <v/>
      </c>
      <c r="J25" s="42" t="str">
        <f t="shared" si="3"/>
        <v/>
      </c>
      <c r="K25" s="6"/>
      <c r="L25" s="6" t="str">
        <f t="shared" si="0"/>
        <v/>
      </c>
      <c r="M25" s="25"/>
      <c r="N25" s="6" t="str">
        <f t="shared" si="1"/>
        <v/>
      </c>
      <c r="O25" s="12"/>
      <c r="P25" s="2"/>
      <c r="Q25" s="37" t="str">
        <f t="shared" si="7"/>
        <v/>
      </c>
      <c r="R25" s="37" t="str">
        <f t="shared" si="2"/>
        <v/>
      </c>
      <c r="S25" s="37">
        <f t="shared" si="11"/>
        <v>0</v>
      </c>
      <c r="T25" s="39" t="str">
        <f t="shared" si="4"/>
        <v>OK</v>
      </c>
      <c r="U25" s="2"/>
      <c r="V25" s="2"/>
      <c r="W25" s="2"/>
      <c r="X25" s="2"/>
      <c r="Y25" s="2"/>
      <c r="Z25" s="2"/>
      <c r="AA25" s="2"/>
      <c r="AB25" s="2"/>
    </row>
    <row r="26" spans="1:30" ht="18.75" customHeight="1">
      <c r="A26" s="9">
        <f t="shared" si="5"/>
        <v>46048</v>
      </c>
      <c r="B26" s="10">
        <f t="shared" si="6"/>
        <v>46048</v>
      </c>
      <c r="C26" s="33" t="s">
        <v>85</v>
      </c>
      <c r="D26" s="34">
        <v>0.25</v>
      </c>
      <c r="E26" s="34">
        <v>0.70833333333333337</v>
      </c>
      <c r="F26" s="6">
        <v>0.29166666666666669</v>
      </c>
      <c r="G26" s="6">
        <f t="shared" si="8"/>
        <v>0.125</v>
      </c>
      <c r="H26" s="34">
        <v>4.1666666666666664E-2</v>
      </c>
      <c r="I26" s="6">
        <f t="shared" si="10"/>
        <v>0.41666666666666669</v>
      </c>
      <c r="J26" s="42">
        <f t="shared" si="3"/>
        <v>8.333333333333337E-2</v>
      </c>
      <c r="K26" s="6"/>
      <c r="L26" s="6">
        <f t="shared" si="0"/>
        <v>2.0833333333333315E-2</v>
      </c>
      <c r="M26" s="25"/>
      <c r="N26" s="6" t="str">
        <f t="shared" si="1"/>
        <v/>
      </c>
      <c r="O26" s="12"/>
      <c r="P26" s="2"/>
      <c r="Q26" s="37">
        <f t="shared" si="7"/>
        <v>0.29166666666666669</v>
      </c>
      <c r="R26" s="37">
        <f t="shared" si="2"/>
        <v>0.29166666666666669</v>
      </c>
      <c r="S26" s="37">
        <f t="shared" si="11"/>
        <v>0.29166666666666669</v>
      </c>
      <c r="T26" s="39" t="str">
        <f t="shared" si="4"/>
        <v>OK</v>
      </c>
      <c r="U26" s="2"/>
      <c r="V26" s="2"/>
      <c r="W26" s="2"/>
      <c r="X26" s="2"/>
      <c r="Y26" s="2"/>
      <c r="Z26" s="2"/>
      <c r="AA26" s="2"/>
      <c r="AB26" s="2"/>
    </row>
    <row r="27" spans="1:30" ht="18.75" customHeight="1">
      <c r="A27" s="9">
        <f>IF(A26="","",A26+1)</f>
        <v>46049</v>
      </c>
      <c r="B27" s="10">
        <f t="shared" si="6"/>
        <v>46049</v>
      </c>
      <c r="C27" s="33" t="s">
        <v>85</v>
      </c>
      <c r="D27" s="34">
        <v>0.25</v>
      </c>
      <c r="E27" s="34">
        <v>0.6875</v>
      </c>
      <c r="F27" s="6">
        <v>0.29166666666666669</v>
      </c>
      <c r="G27" s="6">
        <f t="shared" si="8"/>
        <v>0.10416666666666663</v>
      </c>
      <c r="H27" s="34">
        <v>4.1666666666666664E-2</v>
      </c>
      <c r="I27" s="6">
        <f t="shared" si="10"/>
        <v>0.39583333333333331</v>
      </c>
      <c r="J27" s="42">
        <f t="shared" si="3"/>
        <v>6.25E-2</v>
      </c>
      <c r="K27" s="6"/>
      <c r="L27" s="6">
        <f t="shared" si="0"/>
        <v>2.0833333333333315E-2</v>
      </c>
      <c r="M27" s="25"/>
      <c r="N27" s="6" t="str">
        <f t="shared" si="1"/>
        <v/>
      </c>
      <c r="O27" s="12"/>
      <c r="P27" s="2"/>
      <c r="Q27" s="37">
        <f t="shared" si="7"/>
        <v>0.29166666666666669</v>
      </c>
      <c r="R27" s="37">
        <f t="shared" si="2"/>
        <v>0.29166666666666669</v>
      </c>
      <c r="S27" s="37">
        <f t="shared" si="11"/>
        <v>0.29166666666666669</v>
      </c>
      <c r="T27" s="39" t="str">
        <f t="shared" si="4"/>
        <v>OK</v>
      </c>
      <c r="U27" s="2"/>
      <c r="V27" s="2"/>
      <c r="W27" s="2"/>
      <c r="X27" s="2"/>
      <c r="Y27" s="2"/>
      <c r="Z27" s="2"/>
      <c r="AA27" s="2"/>
      <c r="AB27" s="2"/>
    </row>
    <row r="28" spans="1:30" ht="18.75" customHeight="1">
      <c r="A28" s="9">
        <f t="shared" si="5"/>
        <v>46050</v>
      </c>
      <c r="B28" s="10">
        <f t="shared" si="6"/>
        <v>46050</v>
      </c>
      <c r="C28" s="33" t="s">
        <v>85</v>
      </c>
      <c r="D28" s="34">
        <v>0.27083333333333331</v>
      </c>
      <c r="E28" s="34">
        <v>0.70833333333333337</v>
      </c>
      <c r="F28" s="6">
        <v>0.29166666666666669</v>
      </c>
      <c r="G28" s="6">
        <f t="shared" si="8"/>
        <v>0.10416666666666669</v>
      </c>
      <c r="H28" s="34">
        <v>4.1666666666666664E-2</v>
      </c>
      <c r="I28" s="6">
        <f t="shared" si="10"/>
        <v>0.39583333333333337</v>
      </c>
      <c r="J28" s="42">
        <f t="shared" si="3"/>
        <v>6.2500000000000056E-2</v>
      </c>
      <c r="K28" s="6"/>
      <c r="L28" s="6" t="str">
        <f t="shared" si="0"/>
        <v/>
      </c>
      <c r="M28" s="25"/>
      <c r="N28" s="6" t="str">
        <f t="shared" si="1"/>
        <v/>
      </c>
      <c r="O28" s="12"/>
      <c r="P28" s="2"/>
      <c r="Q28" s="37">
        <f t="shared" si="7"/>
        <v>0.29166666666666669</v>
      </c>
      <c r="R28" s="37">
        <f t="shared" si="2"/>
        <v>0.28125</v>
      </c>
      <c r="S28" s="37">
        <f t="shared" si="11"/>
        <v>0.28125</v>
      </c>
      <c r="T28" s="39" t="str">
        <f t="shared" si="4"/>
        <v>OK</v>
      </c>
      <c r="U28" s="2"/>
      <c r="V28" s="2"/>
      <c r="W28" s="2"/>
      <c r="X28" s="2"/>
      <c r="Y28" s="2"/>
      <c r="Z28" s="2"/>
      <c r="AA28" s="2"/>
      <c r="AB28" s="2"/>
    </row>
    <row r="29" spans="1:30" ht="18.75" customHeight="1">
      <c r="A29" s="9">
        <f t="shared" si="5"/>
        <v>46051</v>
      </c>
      <c r="B29" s="10">
        <f t="shared" si="6"/>
        <v>46051</v>
      </c>
      <c r="C29" s="33" t="s">
        <v>85</v>
      </c>
      <c r="D29" s="34">
        <v>0.27083333333333331</v>
      </c>
      <c r="E29" s="34">
        <v>0.6875</v>
      </c>
      <c r="F29" s="6">
        <v>0.27083333333333331</v>
      </c>
      <c r="G29" s="6">
        <f t="shared" si="8"/>
        <v>0.10416666666666669</v>
      </c>
      <c r="H29" s="34">
        <v>4.1666666666666664E-2</v>
      </c>
      <c r="I29" s="6">
        <f t="shared" si="10"/>
        <v>0.375</v>
      </c>
      <c r="J29" s="42">
        <f t="shared" si="3"/>
        <v>4.1666666666666685E-2</v>
      </c>
      <c r="K29" s="6"/>
      <c r="L29" s="6" t="str">
        <f t="shared" si="0"/>
        <v/>
      </c>
      <c r="M29" s="25"/>
      <c r="N29" s="6" t="str">
        <f t="shared" si="1"/>
        <v/>
      </c>
      <c r="O29" s="12"/>
      <c r="P29" s="2"/>
      <c r="Q29" s="37">
        <f t="shared" si="7"/>
        <v>0.28125</v>
      </c>
      <c r="R29" s="37">
        <f t="shared" si="2"/>
        <v>0.28125</v>
      </c>
      <c r="S29" s="37">
        <f t="shared" si="11"/>
        <v>0.28125</v>
      </c>
      <c r="T29" s="39" t="str">
        <f t="shared" si="4"/>
        <v>OK</v>
      </c>
      <c r="U29" s="2"/>
      <c r="V29" s="2"/>
      <c r="W29" s="2"/>
      <c r="X29" s="2"/>
      <c r="Y29" s="2"/>
      <c r="Z29" s="2"/>
      <c r="AA29" s="2"/>
      <c r="AB29" s="2"/>
    </row>
    <row r="30" spans="1:30" ht="18.75" customHeight="1">
      <c r="A30" s="9">
        <f t="shared" si="5"/>
        <v>46052</v>
      </c>
      <c r="B30" s="10">
        <f t="shared" si="6"/>
        <v>46052</v>
      </c>
      <c r="C30" s="33" t="s">
        <v>85</v>
      </c>
      <c r="D30" s="34">
        <v>0.27083333333333331</v>
      </c>
      <c r="E30" s="34">
        <v>0.70833333333333337</v>
      </c>
      <c r="F30" s="6">
        <v>0.29166666666666669</v>
      </c>
      <c r="G30" s="6">
        <f t="shared" si="8"/>
        <v>0.10416666666666669</v>
      </c>
      <c r="H30" s="34">
        <v>4.1666666666666664E-2</v>
      </c>
      <c r="I30" s="6">
        <f t="shared" si="10"/>
        <v>0.39583333333333337</v>
      </c>
      <c r="J30" s="42">
        <f t="shared" si="3"/>
        <v>6.2500000000000056E-2</v>
      </c>
      <c r="K30" s="6"/>
      <c r="L30" s="6" t="str">
        <f t="shared" si="0"/>
        <v/>
      </c>
      <c r="M30" s="25"/>
      <c r="N30" s="6" t="str">
        <f t="shared" si="1"/>
        <v/>
      </c>
      <c r="O30" s="12"/>
      <c r="P30" s="2"/>
      <c r="Q30" s="37">
        <f t="shared" si="7"/>
        <v>0.28125</v>
      </c>
      <c r="R30" s="37">
        <f t="shared" si="2"/>
        <v>0.29166666666666669</v>
      </c>
      <c r="S30" s="37">
        <f t="shared" si="11"/>
        <v>0.28125</v>
      </c>
      <c r="T30" s="39" t="str">
        <f t="shared" si="4"/>
        <v>OK</v>
      </c>
      <c r="U30" s="2"/>
      <c r="V30" s="2"/>
      <c r="W30" s="2"/>
      <c r="X30" s="2"/>
      <c r="Y30" s="2"/>
      <c r="Z30" s="2"/>
      <c r="AA30" s="2"/>
      <c r="AB30" s="2"/>
    </row>
    <row r="31" spans="1:30" ht="18.75" customHeight="1">
      <c r="A31" s="9">
        <f t="shared" si="5"/>
        <v>46053</v>
      </c>
      <c r="B31" s="10">
        <f t="shared" si="6"/>
        <v>46053</v>
      </c>
      <c r="C31" s="33" t="s">
        <v>18</v>
      </c>
      <c r="D31" s="34"/>
      <c r="E31" s="34"/>
      <c r="F31" s="6"/>
      <c r="G31" s="6" t="str">
        <f t="shared" si="8"/>
        <v/>
      </c>
      <c r="H31" s="34">
        <v>4.1666666666666664E-2</v>
      </c>
      <c r="I31" s="6" t="str">
        <f t="shared" si="10"/>
        <v/>
      </c>
      <c r="J31" s="42" t="str">
        <f t="shared" si="3"/>
        <v/>
      </c>
      <c r="K31" s="6"/>
      <c r="L31" s="6" t="str">
        <f t="shared" si="0"/>
        <v/>
      </c>
      <c r="M31" s="25"/>
      <c r="N31" s="6" t="str">
        <f t="shared" si="1"/>
        <v/>
      </c>
      <c r="O31" s="12"/>
      <c r="P31" s="2"/>
      <c r="Q31" s="37" t="str">
        <f t="shared" si="7"/>
        <v/>
      </c>
      <c r="R31" s="37" t="str">
        <f t="shared" si="2"/>
        <v/>
      </c>
      <c r="S31" s="37">
        <f t="shared" si="11"/>
        <v>0</v>
      </c>
      <c r="T31" s="39" t="str">
        <f t="shared" si="4"/>
        <v>OK</v>
      </c>
      <c r="U31" s="2"/>
      <c r="V31" s="2"/>
      <c r="W31" s="2"/>
      <c r="X31" s="2"/>
      <c r="Y31" s="2"/>
      <c r="Z31" s="2"/>
      <c r="AA31" s="2"/>
      <c r="AB31" s="2"/>
    </row>
    <row r="32" spans="1:30" ht="18.75" customHeight="1">
      <c r="A32" s="9">
        <f t="shared" si="5"/>
        <v>46054</v>
      </c>
      <c r="B32" s="10">
        <f t="shared" si="6"/>
        <v>46054</v>
      </c>
      <c r="C32" s="33" t="s">
        <v>18</v>
      </c>
      <c r="D32" s="34"/>
      <c r="E32" s="34"/>
      <c r="F32" s="6"/>
      <c r="G32" s="6" t="str">
        <f t="shared" si="8"/>
        <v/>
      </c>
      <c r="H32" s="34">
        <v>4.1666666666666664E-2</v>
      </c>
      <c r="I32" s="6" t="str">
        <f t="shared" si="10"/>
        <v/>
      </c>
      <c r="J32" s="42" t="str">
        <f t="shared" si="3"/>
        <v/>
      </c>
      <c r="K32" s="6"/>
      <c r="L32" s="6" t="str">
        <f t="shared" si="0"/>
        <v/>
      </c>
      <c r="M32" s="25"/>
      <c r="N32" s="6" t="str">
        <f t="shared" si="1"/>
        <v/>
      </c>
      <c r="O32" s="12"/>
      <c r="P32" s="2"/>
      <c r="Q32" s="37" t="str">
        <f t="shared" si="7"/>
        <v/>
      </c>
      <c r="R32" s="37" t="str">
        <f t="shared" si="2"/>
        <v/>
      </c>
      <c r="S32" s="37">
        <f t="shared" si="11"/>
        <v>0</v>
      </c>
      <c r="T32" s="39" t="str">
        <f t="shared" si="4"/>
        <v>OK</v>
      </c>
      <c r="U32" s="2"/>
      <c r="V32" s="2"/>
      <c r="W32" s="2"/>
      <c r="X32" s="2"/>
      <c r="Y32" s="2"/>
      <c r="Z32" s="2"/>
      <c r="AA32" s="2"/>
      <c r="AB32" s="2"/>
    </row>
    <row r="33" spans="1:28" ht="18.75" customHeight="1">
      <c r="A33" s="9">
        <f t="shared" si="5"/>
        <v>46055</v>
      </c>
      <c r="B33" s="10">
        <f t="shared" si="6"/>
        <v>46055</v>
      </c>
      <c r="C33" s="33" t="s">
        <v>85</v>
      </c>
      <c r="D33" s="34">
        <v>0.27083333333333331</v>
      </c>
      <c r="E33" s="34">
        <v>0.70833333333333337</v>
      </c>
      <c r="F33" s="6">
        <v>0.29166666666666669</v>
      </c>
      <c r="G33" s="6">
        <f t="shared" si="8"/>
        <v>0.10416666666666669</v>
      </c>
      <c r="H33" s="34">
        <v>4.1666666666666664E-2</v>
      </c>
      <c r="I33" s="6">
        <f t="shared" si="10"/>
        <v>0.39583333333333337</v>
      </c>
      <c r="J33" s="42">
        <f t="shared" si="3"/>
        <v>6.2500000000000056E-2</v>
      </c>
      <c r="K33" s="6"/>
      <c r="L33" s="6" t="str">
        <f t="shared" si="0"/>
        <v/>
      </c>
      <c r="M33" s="25"/>
      <c r="N33" s="6" t="str">
        <f t="shared" si="1"/>
        <v/>
      </c>
      <c r="O33" s="12"/>
      <c r="P33" s="2"/>
      <c r="Q33" s="37">
        <f t="shared" si="7"/>
        <v>0.29166666666666669</v>
      </c>
      <c r="R33" s="37">
        <f t="shared" si="2"/>
        <v>0.29166666666666669</v>
      </c>
      <c r="S33" s="37">
        <f t="shared" si="11"/>
        <v>0.29166666666666669</v>
      </c>
      <c r="T33" s="39" t="str">
        <f t="shared" si="4"/>
        <v>OK</v>
      </c>
      <c r="U33" s="2"/>
      <c r="V33" s="2"/>
      <c r="W33" s="2"/>
      <c r="X33" s="2"/>
      <c r="Y33" s="2"/>
      <c r="Z33" s="2"/>
      <c r="AA33" s="2"/>
      <c r="AB33" s="2"/>
    </row>
    <row r="34" spans="1:28" ht="18.75" customHeight="1">
      <c r="A34" s="9">
        <f t="shared" si="5"/>
        <v>46056</v>
      </c>
      <c r="B34" s="10">
        <f t="shared" si="6"/>
        <v>46056</v>
      </c>
      <c r="C34" s="33" t="s">
        <v>85</v>
      </c>
      <c r="D34" s="34">
        <v>0.27083333333333331</v>
      </c>
      <c r="E34" s="34">
        <v>0.70833333333333337</v>
      </c>
      <c r="F34" s="6">
        <v>0.29166666666666669</v>
      </c>
      <c r="G34" s="6">
        <f t="shared" si="8"/>
        <v>0.10416666666666669</v>
      </c>
      <c r="H34" s="34">
        <v>4.1666666666666664E-2</v>
      </c>
      <c r="I34" s="6">
        <f t="shared" si="10"/>
        <v>0.39583333333333337</v>
      </c>
      <c r="J34" s="42">
        <f t="shared" si="3"/>
        <v>6.2500000000000056E-2</v>
      </c>
      <c r="K34" s="6"/>
      <c r="L34" s="6" t="str">
        <f t="shared" si="0"/>
        <v/>
      </c>
      <c r="M34" s="25"/>
      <c r="N34" s="6" t="str">
        <f t="shared" si="1"/>
        <v/>
      </c>
      <c r="O34" s="12"/>
      <c r="P34" s="2"/>
      <c r="Q34" s="37">
        <f t="shared" si="7"/>
        <v>0.29166666666666669</v>
      </c>
      <c r="R34" s="37">
        <f t="shared" si="2"/>
        <v>0.29166666666666669</v>
      </c>
      <c r="S34" s="37">
        <f t="shared" si="11"/>
        <v>0.29166666666666669</v>
      </c>
      <c r="T34" s="39" t="str">
        <f t="shared" si="4"/>
        <v>OK</v>
      </c>
      <c r="U34" s="2"/>
      <c r="V34" s="2"/>
      <c r="W34" s="2"/>
      <c r="X34" s="2"/>
      <c r="Y34" s="2"/>
      <c r="Z34" s="2"/>
      <c r="AA34" s="2"/>
      <c r="AB34" s="2"/>
    </row>
    <row r="35" spans="1:28" ht="18.75" customHeight="1">
      <c r="A35" s="9">
        <f t="shared" si="5"/>
        <v>46057</v>
      </c>
      <c r="B35" s="10">
        <f t="shared" si="6"/>
        <v>46057</v>
      </c>
      <c r="C35" s="33" t="s">
        <v>85</v>
      </c>
      <c r="D35" s="34">
        <v>0.25</v>
      </c>
      <c r="E35" s="34">
        <v>0.6875</v>
      </c>
      <c r="F35" s="6">
        <v>0.29166666666666669</v>
      </c>
      <c r="G35" s="6">
        <f t="shared" si="8"/>
        <v>0.10416666666666663</v>
      </c>
      <c r="H35" s="34">
        <v>4.1666666666666664E-2</v>
      </c>
      <c r="I35" s="6">
        <f t="shared" si="10"/>
        <v>0.39583333333333331</v>
      </c>
      <c r="J35" s="42">
        <f t="shared" si="3"/>
        <v>6.25E-2</v>
      </c>
      <c r="K35" s="6"/>
      <c r="L35" s="6">
        <f t="shared" si="0"/>
        <v>2.0833333333333315E-2</v>
      </c>
      <c r="M35" s="25"/>
      <c r="N35" s="6" t="str">
        <f t="shared" si="1"/>
        <v/>
      </c>
      <c r="O35" s="12"/>
      <c r="P35" s="2"/>
      <c r="Q35" s="37">
        <f t="shared" ref="Q35:Q44" si="12">IF(D35="","",AVERAGE(F34:F35))</f>
        <v>0.29166666666666669</v>
      </c>
      <c r="R35" s="37">
        <f t="shared" ref="R35:R44" si="13">IF(D35="","",AVERAGE(F35:F36))</f>
        <v>0.29166666666666669</v>
      </c>
      <c r="S35" s="37">
        <f t="shared" si="11"/>
        <v>0.29166666666666669</v>
      </c>
      <c r="T35" s="39" t="str">
        <f t="shared" si="4"/>
        <v>OK</v>
      </c>
      <c r="U35" s="2"/>
      <c r="V35" s="2"/>
      <c r="W35" s="2"/>
      <c r="X35" s="2"/>
      <c r="Y35" s="2"/>
      <c r="Z35" s="2"/>
      <c r="AA35" s="2"/>
      <c r="AB35" s="2"/>
    </row>
    <row r="36" spans="1:28" ht="18.75" customHeight="1">
      <c r="A36" s="9">
        <f t="shared" si="5"/>
        <v>46058</v>
      </c>
      <c r="B36" s="10">
        <f t="shared" si="6"/>
        <v>46058</v>
      </c>
      <c r="C36" s="33" t="s">
        <v>85</v>
      </c>
      <c r="D36" s="34">
        <v>0.25</v>
      </c>
      <c r="E36" s="34">
        <v>0.70833333333333337</v>
      </c>
      <c r="F36" s="6">
        <v>0.29166666666666669</v>
      </c>
      <c r="G36" s="6">
        <f t="shared" si="8"/>
        <v>0.125</v>
      </c>
      <c r="H36" s="34">
        <v>4.1666666666666664E-2</v>
      </c>
      <c r="I36" s="6">
        <f t="shared" si="10"/>
        <v>0.41666666666666669</v>
      </c>
      <c r="J36" s="42">
        <f t="shared" si="3"/>
        <v>8.333333333333337E-2</v>
      </c>
      <c r="K36" s="6"/>
      <c r="L36" s="6">
        <f t="shared" si="0"/>
        <v>2.0833333333333315E-2</v>
      </c>
      <c r="M36" s="25"/>
      <c r="N36" s="6" t="str">
        <f t="shared" si="1"/>
        <v/>
      </c>
      <c r="O36" s="12"/>
      <c r="P36" s="2"/>
      <c r="Q36" s="37">
        <f t="shared" si="12"/>
        <v>0.29166666666666669</v>
      </c>
      <c r="R36" s="37">
        <f t="shared" si="13"/>
        <v>0.29166666666666669</v>
      </c>
      <c r="S36" s="37">
        <f t="shared" si="11"/>
        <v>0.29166666666666669</v>
      </c>
      <c r="T36" s="39" t="str">
        <f t="shared" si="4"/>
        <v>OK</v>
      </c>
      <c r="U36" s="2"/>
      <c r="V36" s="2"/>
      <c r="W36" s="2"/>
      <c r="X36" s="2"/>
      <c r="Y36" s="2"/>
      <c r="Z36" s="2"/>
      <c r="AA36" s="2"/>
      <c r="AB36" s="2"/>
    </row>
    <row r="37" spans="1:28" ht="18.75" customHeight="1">
      <c r="A37" s="9">
        <f t="shared" si="5"/>
        <v>46059</v>
      </c>
      <c r="B37" s="10">
        <f t="shared" si="6"/>
        <v>46059</v>
      </c>
      <c r="C37" s="33" t="s">
        <v>85</v>
      </c>
      <c r="D37" s="34">
        <v>0.25</v>
      </c>
      <c r="E37" s="34">
        <v>0.6875</v>
      </c>
      <c r="F37" s="6">
        <v>0.29166666666666669</v>
      </c>
      <c r="G37" s="6">
        <f t="shared" si="8"/>
        <v>0.10416666666666663</v>
      </c>
      <c r="H37" s="34">
        <v>4.1666666666666664E-2</v>
      </c>
      <c r="I37" s="6">
        <f t="shared" si="10"/>
        <v>0.39583333333333331</v>
      </c>
      <c r="J37" s="42">
        <f t="shared" si="3"/>
        <v>6.25E-2</v>
      </c>
      <c r="K37" s="6"/>
      <c r="L37" s="6">
        <f t="shared" si="0"/>
        <v>2.0833333333333315E-2</v>
      </c>
      <c r="M37" s="25"/>
      <c r="N37" s="6" t="str">
        <f t="shared" si="1"/>
        <v/>
      </c>
      <c r="O37" s="12"/>
      <c r="P37" s="2"/>
      <c r="Q37" s="37">
        <f t="shared" si="12"/>
        <v>0.29166666666666669</v>
      </c>
      <c r="R37" s="37">
        <f t="shared" si="13"/>
        <v>0.28125</v>
      </c>
      <c r="S37" s="37">
        <f t="shared" si="11"/>
        <v>0.28125</v>
      </c>
      <c r="T37" s="39" t="str">
        <f t="shared" si="4"/>
        <v>OK</v>
      </c>
      <c r="U37" s="2"/>
      <c r="V37" s="2"/>
      <c r="W37" s="2"/>
      <c r="X37" s="2"/>
      <c r="Y37" s="2"/>
      <c r="Z37" s="2"/>
      <c r="AA37" s="2"/>
      <c r="AB37" s="2"/>
    </row>
    <row r="38" spans="1:28" ht="18.75" customHeight="1">
      <c r="A38" s="9">
        <f t="shared" si="5"/>
        <v>46060</v>
      </c>
      <c r="B38" s="10">
        <f t="shared" si="6"/>
        <v>46060</v>
      </c>
      <c r="C38" s="33" t="s">
        <v>86</v>
      </c>
      <c r="D38" s="34">
        <v>0.33333333333333331</v>
      </c>
      <c r="E38" s="34">
        <v>0.70833333333333337</v>
      </c>
      <c r="F38" s="6">
        <v>0.27083333333333331</v>
      </c>
      <c r="G38" s="6">
        <f t="shared" si="8"/>
        <v>6.2500000000000056E-2</v>
      </c>
      <c r="H38" s="34">
        <v>4.1666666666666664E-2</v>
      </c>
      <c r="I38" s="6">
        <f t="shared" si="10"/>
        <v>0.33333333333333337</v>
      </c>
      <c r="J38" s="42" t="str">
        <f t="shared" si="3"/>
        <v/>
      </c>
      <c r="K38" s="6" t="str" cm="1">
        <f t="array" ref="K38">_xlfn.IFS(I38&lt;&gt;"",IF(AND(D38&gt;TIME(4,59,0),E38&lt;TIME(22,0,1)),"",IF(AND(D38&lt;TIME(5,0,0),E38&gt;TIME(22,0,0)),("5:00"-D38)+(E38-"22:00"),IF(D38&lt;TIME(5,0,0),"5:00"-D38,E38-"22:00"))),TRUE,"")</f>
        <v/>
      </c>
      <c r="L38" s="6" t="str">
        <f t="shared" ref="L38:L46" si="14">IF(D38="","",IF(D38&lt;TIME(5,0,0),($D$8-D38)-(TIME(5,0,0)-D38),IF(D38&gt;=$D$8,"",$D$8-D38)))</f>
        <v/>
      </c>
      <c r="M38" s="25" t="str" cm="1">
        <f t="array" ref="M38">IF(D38="","",_xlfn.IFS(C38="出勤①",IF(D38&gt;$D$8,D38-$D$8,""),C38="出勤②",IF(D38&gt;$F$8,D38-$F$8,"")))</f>
        <v/>
      </c>
      <c r="N38" s="6" t="str">
        <f t="shared" si="1"/>
        <v/>
      </c>
      <c r="O38" s="12"/>
      <c r="P38" s="2"/>
      <c r="Q38" s="37">
        <f t="shared" si="12"/>
        <v>0.28125</v>
      </c>
      <c r="R38" s="37">
        <f t="shared" si="13"/>
        <v>0.27083333333333331</v>
      </c>
      <c r="S38" s="37">
        <f t="shared" si="11"/>
        <v>0.27083333333333331</v>
      </c>
      <c r="T38" s="39" t="str">
        <f t="shared" si="4"/>
        <v>OK</v>
      </c>
      <c r="U38" s="2"/>
      <c r="V38" s="2"/>
      <c r="W38" s="2"/>
      <c r="X38" s="2"/>
      <c r="Y38" s="2"/>
      <c r="Z38" s="2"/>
      <c r="AA38" s="2"/>
      <c r="AB38" s="2"/>
    </row>
    <row r="39" spans="1:28" ht="18.75" customHeight="1">
      <c r="A39" s="9">
        <f t="shared" si="5"/>
        <v>46061</v>
      </c>
      <c r="B39" s="10">
        <f t="shared" si="6"/>
        <v>46061</v>
      </c>
      <c r="C39" s="33" t="s">
        <v>18</v>
      </c>
      <c r="D39" s="34"/>
      <c r="E39" s="34"/>
      <c r="F39" s="6"/>
      <c r="G39" s="6" t="str">
        <f t="shared" si="8"/>
        <v/>
      </c>
      <c r="H39" s="34">
        <v>4.1666666666666664E-2</v>
      </c>
      <c r="I39" s="6" t="str">
        <f t="shared" si="10"/>
        <v/>
      </c>
      <c r="J39" s="42" t="str">
        <f t="shared" si="3"/>
        <v/>
      </c>
      <c r="K39" s="6" t="str" cm="1">
        <f t="array" ref="K39">_xlfn.IFS(I39&lt;&gt;"",IF(AND(D39&gt;TIME(4,59,0),E39&lt;TIME(22,0,1)),"",IF(AND(D39&lt;TIME(5,0,0),E39&gt;TIME(22,0,0)),("5:00"-D39)+(E39-"22:00"),IF(D39&lt;TIME(5,0,0),"5:00"-D39,E39-"22:00"))),TRUE,"")</f>
        <v/>
      </c>
      <c r="L39" s="6" t="str">
        <f t="shared" si="14"/>
        <v/>
      </c>
      <c r="M39" s="25" t="str" cm="1">
        <f t="array" ref="M39">IF(D39="","",_xlfn.IFS(C39="出勤①",IF(D39&gt;$D$8,D39-$D$8,""),C39="出勤②",IF(D39&gt;$F$8,D39-$F$8,"")))</f>
        <v/>
      </c>
      <c r="N39" s="6" t="str">
        <f t="shared" si="1"/>
        <v/>
      </c>
      <c r="O39" s="12"/>
      <c r="P39" s="2"/>
      <c r="Q39" s="37" t="str">
        <f t="shared" si="12"/>
        <v/>
      </c>
      <c r="R39" s="37" t="str">
        <f t="shared" si="13"/>
        <v/>
      </c>
      <c r="S39" s="37">
        <f t="shared" si="11"/>
        <v>0</v>
      </c>
      <c r="T39" s="39" t="str">
        <f t="shared" si="4"/>
        <v>OK</v>
      </c>
      <c r="U39" s="2"/>
      <c r="V39" s="2"/>
      <c r="W39" s="2"/>
      <c r="X39" s="2"/>
      <c r="Y39" s="2"/>
      <c r="Z39" s="2"/>
      <c r="AA39" s="2"/>
      <c r="AB39" s="2"/>
    </row>
    <row r="40" spans="1:28" ht="18.75" customHeight="1">
      <c r="A40" s="9">
        <f t="shared" si="5"/>
        <v>46062</v>
      </c>
      <c r="B40" s="10">
        <f t="shared" si="6"/>
        <v>46062</v>
      </c>
      <c r="C40" s="33" t="s">
        <v>85</v>
      </c>
      <c r="D40" s="34">
        <v>0.27083333333333331</v>
      </c>
      <c r="E40" s="34">
        <v>0.6875</v>
      </c>
      <c r="F40" s="6">
        <v>0.27083333333333331</v>
      </c>
      <c r="G40" s="6">
        <f t="shared" si="8"/>
        <v>0.10416666666666669</v>
      </c>
      <c r="H40" s="34">
        <v>4.1666666666666664E-2</v>
      </c>
      <c r="I40" s="6">
        <f t="shared" si="10"/>
        <v>0.375</v>
      </c>
      <c r="J40" s="42">
        <f t="shared" si="3"/>
        <v>4.1666666666666685E-2</v>
      </c>
      <c r="K40" s="6" t="str" cm="1">
        <f t="array" ref="K40">_xlfn.IFS(I40&lt;&gt;"",IF(AND(D40&gt;TIME(4,59,0),E40&lt;TIME(22,0,1)),"",IF(AND(D40&lt;TIME(5,0,0),E40&gt;TIME(22,0,0)),("5:00"-D40)+(E40-"22:00"),IF(D40&lt;TIME(5,0,0),"5:00"-D40,E40-"22:00"))),TRUE,"")</f>
        <v/>
      </c>
      <c r="L40" s="6" t="str">
        <f t="shared" si="14"/>
        <v/>
      </c>
      <c r="M40" s="25" t="str" cm="1">
        <f t="array" ref="M40">IF(D40="","",_xlfn.IFS(C40="出勤①",IF(D40&gt;$D$8,D40-$D$8,""),C40="出勤②",IF(D40&gt;$F$8,D40-$F$8,"")))</f>
        <v/>
      </c>
      <c r="N40" s="6" t="str">
        <f t="shared" si="1"/>
        <v/>
      </c>
      <c r="O40" s="12"/>
      <c r="P40" s="2"/>
      <c r="Q40" s="37">
        <f t="shared" si="12"/>
        <v>0.27083333333333331</v>
      </c>
      <c r="R40" s="37">
        <f t="shared" si="13"/>
        <v>0.27083333333333331</v>
      </c>
      <c r="S40" s="37">
        <f t="shared" si="11"/>
        <v>0.27083333333333331</v>
      </c>
      <c r="T40" s="39" t="str">
        <f t="shared" si="4"/>
        <v>OK</v>
      </c>
      <c r="U40" s="2"/>
      <c r="V40" s="2"/>
      <c r="W40" s="2"/>
      <c r="X40" s="2"/>
      <c r="Y40" s="2"/>
      <c r="Z40" s="2"/>
      <c r="AA40" s="2"/>
      <c r="AB40" s="2"/>
    </row>
    <row r="41" spans="1:28" ht="18.75" customHeight="1">
      <c r="A41" s="9">
        <f t="shared" si="5"/>
        <v>46063</v>
      </c>
      <c r="B41" s="10">
        <f t="shared" si="6"/>
        <v>46063</v>
      </c>
      <c r="C41" s="33" t="s">
        <v>85</v>
      </c>
      <c r="D41" s="34">
        <v>0.27083333333333331</v>
      </c>
      <c r="E41" s="34">
        <v>0.66666666666666663</v>
      </c>
      <c r="F41" s="6">
        <v>0.27083333333333331</v>
      </c>
      <c r="G41" s="6">
        <f t="shared" si="8"/>
        <v>8.3333333333333315E-2</v>
      </c>
      <c r="H41" s="34">
        <v>4.1666666666666664E-2</v>
      </c>
      <c r="I41" s="6">
        <f t="shared" si="10"/>
        <v>0.35416666666666663</v>
      </c>
      <c r="J41" s="42">
        <f t="shared" si="3"/>
        <v>2.0833333333333315E-2</v>
      </c>
      <c r="K41" s="6" t="str" cm="1">
        <f t="array" ref="K41">_xlfn.IFS(I41&lt;&gt;"",IF(AND(D41&gt;TIME(4,59,0),E41&lt;TIME(22,0,1)),"",IF(AND(D41&lt;TIME(5,0,0),E41&gt;TIME(22,0,0)),("5:00"-D41)+(E41-"22:00"),IF(D41&lt;TIME(5,0,0),"5:00"-D41,E41-"22:00"))),TRUE,"")</f>
        <v/>
      </c>
      <c r="L41" s="6" t="str">
        <f t="shared" si="14"/>
        <v/>
      </c>
      <c r="M41" s="25" t="str" cm="1">
        <f t="array" ref="M41">IF(D41="","",_xlfn.IFS(C41="出勤①",IF(D41&gt;$D$8,D41-$D$8,""),C41="出勤②",IF(D41&gt;$F$8,D41-$F$8,"")))</f>
        <v/>
      </c>
      <c r="N41" s="6" t="str" cm="1">
        <f t="array" ref="N41">IF(D41="","",_xlfn.IFS(C41="出勤①",IF(E41&lt;$E$8,$E$8-E41,""),C41="出勤②",IF(E41&lt;$G$8,$G$8-E41,"")))</f>
        <v/>
      </c>
      <c r="O41" s="12"/>
      <c r="P41" s="2"/>
      <c r="Q41" s="37">
        <f t="shared" si="12"/>
        <v>0.27083333333333331</v>
      </c>
      <c r="R41" s="37">
        <f t="shared" si="13"/>
        <v>0.27083333333333331</v>
      </c>
      <c r="S41" s="37">
        <f t="shared" si="11"/>
        <v>0.27083333333333331</v>
      </c>
      <c r="T41" s="39" t="str">
        <f t="shared" si="4"/>
        <v>OK</v>
      </c>
      <c r="U41" s="2"/>
      <c r="V41" s="2"/>
      <c r="W41" s="2"/>
      <c r="X41" s="2"/>
      <c r="Y41" s="2"/>
      <c r="Z41" s="2"/>
      <c r="AA41" s="2"/>
      <c r="AB41" s="2"/>
    </row>
    <row r="42" spans="1:28" ht="18.75" hidden="1" customHeight="1">
      <c r="A42" s="9">
        <f t="shared" si="5"/>
        <v>46064</v>
      </c>
      <c r="B42" s="10">
        <f t="shared" si="6"/>
        <v>46064</v>
      </c>
      <c r="C42" s="33"/>
      <c r="D42" s="34"/>
      <c r="E42" s="34"/>
      <c r="F42" s="6"/>
      <c r="G42" s="6" t="str">
        <f t="shared" si="8"/>
        <v/>
      </c>
      <c r="H42" s="34">
        <v>4.1666666666666664E-2</v>
      </c>
      <c r="I42" s="6" t="str">
        <f t="shared" si="10"/>
        <v/>
      </c>
      <c r="J42" s="6" t="str" cm="1">
        <f t="array" ref="J42">_xlfn.IFS(I42="","",I42-"8:00"&gt;TIME(0,1,0),I42-"8:00",TRUE,"")</f>
        <v/>
      </c>
      <c r="K42" s="6" t="str" cm="1">
        <f t="array" ref="K42">_xlfn.IFS(I42&lt;&gt;"",IF(AND(D42&gt;TIME(4,59,0),E42&lt;TIME(22,0,1)),"",IF(AND(D42&lt;TIME(5,0,0),E42&gt;TIME(22,0,0)),("5:00"-D42)+(E42-"22:00"),IF(D42&lt;TIME(5,0,0),"5:00"-D42,E42-"22:00"))),TRUE,"")</f>
        <v/>
      </c>
      <c r="L42" s="6" t="str">
        <f t="shared" si="14"/>
        <v/>
      </c>
      <c r="M42" s="25" t="str" cm="1">
        <f t="array" ref="M42">IF(D42="","",_xlfn.IFS(C42="出勤①",IF(D42&gt;$D$8,D42-$D$8,""),C42="出勤②",IF(D42&gt;$F$8,D42-$F$8,"")))</f>
        <v/>
      </c>
      <c r="N42" s="6" t="str" cm="1">
        <f t="array" ref="N42">IF(D42="","",_xlfn.IFS(C42="出勤①",IF(E42&lt;$E$8,$E$8-E42,""),C42="出勤②",IF(E42&lt;$G$8,$G$8-E42,"")))</f>
        <v/>
      </c>
      <c r="O42" s="12"/>
      <c r="P42" s="2"/>
      <c r="Q42" s="37" t="str">
        <f t="shared" si="12"/>
        <v/>
      </c>
      <c r="R42" s="37" t="str">
        <f t="shared" si="13"/>
        <v/>
      </c>
      <c r="S42" s="37">
        <f t="shared" si="11"/>
        <v>0</v>
      </c>
      <c r="T42" s="39" t="str">
        <f t="shared" si="4"/>
        <v>OK</v>
      </c>
      <c r="U42" s="2"/>
      <c r="V42" s="2"/>
      <c r="W42" s="2"/>
      <c r="X42" s="2"/>
      <c r="Y42" s="2"/>
      <c r="Z42" s="2"/>
      <c r="AA42" s="2"/>
      <c r="AB42" s="2"/>
    </row>
    <row r="43" spans="1:28" ht="18.75" hidden="1" customHeight="1">
      <c r="A43" s="9">
        <f t="shared" si="5"/>
        <v>46065</v>
      </c>
      <c r="B43" s="10">
        <f t="shared" si="6"/>
        <v>46065</v>
      </c>
      <c r="C43" s="33"/>
      <c r="D43" s="34"/>
      <c r="E43" s="34"/>
      <c r="F43" s="6"/>
      <c r="G43" s="6" t="str">
        <f t="shared" si="8"/>
        <v/>
      </c>
      <c r="H43" s="34">
        <v>4.1666666666666664E-2</v>
      </c>
      <c r="I43" s="6" t="str">
        <f t="shared" si="10"/>
        <v/>
      </c>
      <c r="J43" s="6" t="str" cm="1">
        <f t="array" ref="J43">_xlfn.IFS(I43="","",I43-"8:00"&gt;TIME(0,1,0),I43-"8:00",TRUE,"")</f>
        <v/>
      </c>
      <c r="K43" s="6" t="str" cm="1">
        <f t="array" ref="K43">_xlfn.IFS(I43&lt;&gt;"",IF(AND(D43&gt;TIME(4,59,0),E43&lt;TIME(22,0,1)),"",IF(AND(D43&lt;TIME(5,0,0),E43&gt;TIME(22,0,0)),("5:00"-D43)+(E43-"22:00"),IF(D43&lt;TIME(5,0,0),"5:00"-D43,E43-"22:00"))),TRUE,"")</f>
        <v/>
      </c>
      <c r="L43" s="6" t="str">
        <f t="shared" si="14"/>
        <v/>
      </c>
      <c r="M43" s="25" t="str" cm="1">
        <f t="array" ref="M43">IF(D43="","",_xlfn.IFS(C43="出勤①",IF(D43&gt;$D$8,D43-$D$8,""),C43="出勤②",IF(D43&gt;$F$8,D43-$F$8,"")))</f>
        <v/>
      </c>
      <c r="N43" s="6" t="str" cm="1">
        <f t="array" ref="N43">IF(D43="","",_xlfn.IFS(C43="出勤①",IF(E43&lt;$E$8,$E$8-E43,""),C43="出勤②",IF(E43&lt;$G$8,$G$8-E43,"")))</f>
        <v/>
      </c>
      <c r="O43" s="12"/>
      <c r="P43" s="2"/>
      <c r="Q43" s="37" t="str">
        <f t="shared" si="12"/>
        <v/>
      </c>
      <c r="R43" s="37" t="str">
        <f t="shared" si="13"/>
        <v/>
      </c>
      <c r="S43" s="37">
        <f t="shared" si="11"/>
        <v>0</v>
      </c>
      <c r="T43" s="39" t="str">
        <f t="shared" si="4"/>
        <v>OK</v>
      </c>
      <c r="U43" s="2"/>
      <c r="V43" s="2"/>
      <c r="W43" s="2"/>
      <c r="X43" s="2"/>
      <c r="Y43" s="2"/>
      <c r="Z43" s="2"/>
      <c r="AA43" s="2"/>
      <c r="AB43" s="2"/>
    </row>
    <row r="44" spans="1:28" ht="18.75" hidden="1" customHeight="1">
      <c r="A44" s="9">
        <f t="shared" si="5"/>
        <v>46066</v>
      </c>
      <c r="B44" s="10">
        <f t="shared" si="6"/>
        <v>46066</v>
      </c>
      <c r="C44" s="33"/>
      <c r="D44" s="34"/>
      <c r="E44" s="34"/>
      <c r="F44" s="6"/>
      <c r="G44" s="6" t="str">
        <f t="shared" ref="G44" si="15">IF(D44="","",I44-F44)</f>
        <v/>
      </c>
      <c r="H44" s="34">
        <v>4.1666666666666664E-2</v>
      </c>
      <c r="I44" s="6" t="str">
        <f t="shared" ref="I44" si="16">IF(D44="","",E44-D44-H44)</f>
        <v/>
      </c>
      <c r="J44" s="6" t="str" cm="1">
        <f t="array" ref="J44">_xlfn.IFS(I44="","",I44-"8:00"&gt;TIME(0,1,0),I44-"8:00",TRUE,"")</f>
        <v/>
      </c>
      <c r="K44" s="6" t="str" cm="1">
        <f t="array" ref="K44">_xlfn.IFS(I44&lt;&gt;"",IF(AND(D44&gt;TIME(4,59,0),E44&lt;TIME(22,0,1)),"",IF(AND(D44&lt;TIME(5,0,0),E44&gt;TIME(22,0,0)),("5:00"-D44)+(E44-"22:00"),IF(D44&lt;TIME(5,0,0),"5:00"-D44,E44-"22:00"))),TRUE,"")</f>
        <v/>
      </c>
      <c r="L44" s="6" t="str">
        <f t="shared" si="14"/>
        <v/>
      </c>
      <c r="M44" s="25" t="str" cm="1">
        <f t="array" ref="M44">IF(D44="","",_xlfn.IFS(C44="出勤①",IF(D44&gt;$D$8,D44-$D$8,""),C44="出勤②",IF(D44&gt;$F$8,D44-$F$8,"")))</f>
        <v/>
      </c>
      <c r="N44" s="6" t="str" cm="1">
        <f t="array" ref="N44">IF(D44="","",_xlfn.IFS(C44="出勤①",IF(E44&lt;$E$8,$E$8-E44,""),C44="出勤②",IF(E44&lt;$G$8,$G$8-E44,"")))</f>
        <v/>
      </c>
      <c r="O44" s="12"/>
      <c r="P44" s="2"/>
      <c r="Q44" s="37" t="str">
        <f t="shared" si="12"/>
        <v/>
      </c>
      <c r="R44" s="37" t="str">
        <f t="shared" si="13"/>
        <v/>
      </c>
      <c r="S44" s="37">
        <f t="shared" si="11"/>
        <v>0</v>
      </c>
      <c r="T44" s="39" t="str">
        <f t="shared" si="4"/>
        <v>OK</v>
      </c>
      <c r="U44" s="2"/>
      <c r="V44" s="2"/>
      <c r="W44" s="2"/>
      <c r="X44" s="2"/>
      <c r="Y44" s="2"/>
      <c r="Z44" s="2"/>
      <c r="AA44" s="2"/>
      <c r="AB44" s="2"/>
    </row>
    <row r="45" spans="1:28" ht="18.75" hidden="1" customHeight="1">
      <c r="A45" s="9">
        <f t="shared" si="5"/>
        <v>46067</v>
      </c>
      <c r="B45" s="10">
        <f t="shared" si="6"/>
        <v>46067</v>
      </c>
      <c r="C45" s="33"/>
      <c r="D45" s="34"/>
      <c r="E45" s="34"/>
      <c r="F45" s="6"/>
      <c r="G45" s="6" t="str">
        <f t="shared" si="8"/>
        <v/>
      </c>
      <c r="H45" s="34">
        <v>4.1666666666666664E-2</v>
      </c>
      <c r="I45" s="6" t="str">
        <f t="shared" si="10"/>
        <v/>
      </c>
      <c r="J45" s="6" t="str" cm="1">
        <f t="array" ref="J45">_xlfn.IFS(I45="","",I45-"8:00"&gt;TIME(0,1,0),I45-"8:00",TRUE,"")</f>
        <v/>
      </c>
      <c r="K45" s="6" t="str" cm="1">
        <f t="array" ref="K45">_xlfn.IFS(I45&lt;&gt;"",IF(AND(D45&gt;TIME(4,59,0),E45&lt;TIME(22,0,1)),"",IF(AND(D45&lt;TIME(5,0,0),E45&gt;TIME(22,0,0)),("5:00"-D45)+(E45-"22:00"),IF(D45&lt;TIME(5,0,0),"5:00"-D45,E45-"22:00"))),TRUE,"")</f>
        <v/>
      </c>
      <c r="L45" s="6" t="str">
        <f t="shared" si="14"/>
        <v/>
      </c>
      <c r="M45" s="25" t="str" cm="1">
        <f t="array" ref="M45">IF(D45="","",_xlfn.IFS(C45="出勤①",IF(D45&gt;$D$8,D45-$D$8,""),C45="出勤②",IF(D45&gt;$F$8,D45-$F$8,"")))</f>
        <v/>
      </c>
      <c r="N45" s="6" t="str" cm="1">
        <f t="array" ref="N45">IF(D45="","",_xlfn.IFS(C45="出勤①",IF(E45&lt;$E$8,$E$8-E45,""),C45="出勤②",IF(E45&lt;$G$8,$G$8-E45,"")))</f>
        <v/>
      </c>
      <c r="O45" s="12"/>
      <c r="P45" s="2"/>
      <c r="Q45" s="37" t="str">
        <f>IF(D45="","",AVERAGE(F44:F45))</f>
        <v/>
      </c>
      <c r="R45" s="37" t="str">
        <f>IF(D45="","",AVERAGE(F45:F46))</f>
        <v/>
      </c>
      <c r="S45" s="37">
        <f t="shared" si="11"/>
        <v>0</v>
      </c>
      <c r="T45" s="39" t="str">
        <f t="shared" si="4"/>
        <v>OK</v>
      </c>
      <c r="U45" s="2"/>
      <c r="V45" s="2"/>
      <c r="W45" s="2"/>
      <c r="X45" s="2"/>
      <c r="Y45" s="2"/>
      <c r="Z45" s="2"/>
      <c r="AA45" s="2"/>
      <c r="AB45" s="2"/>
    </row>
    <row r="46" spans="1:28" ht="18.75" hidden="1" customHeight="1">
      <c r="A46" s="9">
        <f t="shared" si="5"/>
        <v>46068</v>
      </c>
      <c r="B46" s="10">
        <f t="shared" si="6"/>
        <v>46068</v>
      </c>
      <c r="C46" s="33"/>
      <c r="D46" s="34"/>
      <c r="E46" s="34"/>
      <c r="F46" s="6"/>
      <c r="G46" s="6" t="str">
        <f t="shared" si="8"/>
        <v/>
      </c>
      <c r="H46" s="34">
        <v>4.1666666666666664E-2</v>
      </c>
      <c r="I46" s="6" t="str">
        <f t="shared" si="10"/>
        <v/>
      </c>
      <c r="J46" s="6" t="str" cm="1">
        <f t="array" ref="J46">_xlfn.IFS(I46="","",I46-"8:00"&gt;TIME(0,1,0),I46-"8:00",TRUE,"")</f>
        <v/>
      </c>
      <c r="K46" s="6" t="str" cm="1">
        <f t="array" ref="K46">_xlfn.IFS(I46&lt;&gt;"",IF(AND(D46&gt;TIME(4,59,0),E46&lt;TIME(22,0,1)),"",IF(AND(D46&lt;TIME(5,0,0),E46&gt;TIME(22,0,0)),("5:00"-D46)+(E46-"22:00"),IF(D46&lt;TIME(5,0,0),"5:00"-D46,E46-"22:00"))),TRUE,"")</f>
        <v/>
      </c>
      <c r="L46" s="6" t="str">
        <f t="shared" si="14"/>
        <v/>
      </c>
      <c r="M46" s="25" t="str" cm="1">
        <f t="array" ref="M46">IF(D46="","",_xlfn.IFS(C46="出勤①",IF(D46&gt;$D$8,D46-$D$8,""),C46="出勤②",IF(D46&gt;$F$8,D46-$F$8,"")))</f>
        <v/>
      </c>
      <c r="N46" s="6" t="str" cm="1">
        <f t="array" ref="N46">IF(D46="","",_xlfn.IFS(C46="出勤①",IF(E46&lt;$E$8,$E$8-E46,""),C46="出勤②",IF(E46&lt;$G$8,$G$8-E46,"")))</f>
        <v/>
      </c>
      <c r="O46" s="12"/>
      <c r="P46" s="2"/>
      <c r="Q46" s="37" t="str">
        <f>IF(D46="","",AVERAGE(F45:F46))</f>
        <v/>
      </c>
      <c r="R46" s="37" t="str">
        <f>IF(D46="","",AVERAGE(F46))</f>
        <v/>
      </c>
      <c r="S46" s="37">
        <f t="shared" si="11"/>
        <v>0</v>
      </c>
      <c r="T46" s="39" t="str">
        <f t="shared" si="4"/>
        <v>OK</v>
      </c>
      <c r="U46" s="2"/>
      <c r="V46" s="2"/>
      <c r="W46" s="2"/>
      <c r="X46" s="2"/>
      <c r="Y46" s="2"/>
      <c r="Z46" s="2"/>
      <c r="AA46" s="2"/>
      <c r="AB46" s="2"/>
    </row>
    <row r="47" spans="1:28" ht="18.75" customHeight="1">
      <c r="A47" s="13"/>
      <c r="B47" s="2"/>
      <c r="C47" s="14"/>
      <c r="D47" s="14"/>
      <c r="E47" s="14"/>
      <c r="F47" s="14"/>
      <c r="G47" s="2"/>
      <c r="H47" s="14"/>
      <c r="I47" s="2"/>
      <c r="J47" s="14"/>
      <c r="K47" s="2"/>
      <c r="L47" s="2"/>
      <c r="M47" s="2"/>
      <c r="N47" s="2"/>
      <c r="O47" s="2"/>
      <c r="P47" s="2"/>
      <c r="U47" s="2"/>
      <c r="V47" s="2"/>
      <c r="W47" s="2"/>
      <c r="X47" s="2"/>
      <c r="Y47" s="2"/>
      <c r="Z47" s="2"/>
      <c r="AA47" s="2"/>
      <c r="AB47" s="2"/>
    </row>
    <row r="48" spans="1:28" ht="21" customHeight="1">
      <c r="A48" s="2"/>
      <c r="B48" s="14"/>
      <c r="C48" s="55" t="s">
        <v>10</v>
      </c>
      <c r="D48" s="56"/>
      <c r="E48" s="12">
        <f>COUNTIFS(C11:C46,"出勤①")+COUNTIFS(C11:C46,"出勤②")+COUNTIFS(C11:C46,"法定休日出勤")+COUNTIFS(C11:C46,"所定休日出勤")</f>
        <v>23</v>
      </c>
      <c r="F48" s="2"/>
      <c r="G48" s="58" t="s">
        <v>78</v>
      </c>
      <c r="H48" s="58"/>
      <c r="I48" s="58"/>
      <c r="J48" s="45">
        <f>SUM(J11:J46)-J52</f>
        <v>1.354166666666667</v>
      </c>
      <c r="K48" s="2"/>
      <c r="L48" s="15" t="s">
        <v>11</v>
      </c>
      <c r="M48" s="15" t="s">
        <v>11</v>
      </c>
      <c r="N48" s="15" t="s">
        <v>11</v>
      </c>
      <c r="O48" s="2"/>
      <c r="P48" s="2"/>
      <c r="U48" s="2"/>
      <c r="V48" s="2"/>
      <c r="W48" s="2"/>
      <c r="X48" s="2"/>
      <c r="Y48" s="2"/>
      <c r="Z48" s="2"/>
      <c r="AA48" s="2"/>
      <c r="AB48" s="2"/>
    </row>
    <row r="49" spans="1:28" ht="21" customHeight="1">
      <c r="A49" s="2"/>
      <c r="B49" s="14"/>
      <c r="C49" s="55" t="s">
        <v>61</v>
      </c>
      <c r="D49" s="56"/>
      <c r="E49" s="12">
        <f>+COUNTIFS(C11:C46,"法定休日出勤")+COUNTIFS(C11:C46,"所定休日出勤")</f>
        <v>0</v>
      </c>
      <c r="F49" s="2"/>
      <c r="G49" s="2"/>
      <c r="H49" s="2"/>
      <c r="I49" s="2"/>
      <c r="J49" s="2"/>
      <c r="K49" s="2"/>
      <c r="L49" s="82"/>
      <c r="M49" s="82"/>
      <c r="N49" s="82"/>
      <c r="O49" s="2"/>
      <c r="P49" s="2"/>
      <c r="U49" s="2"/>
      <c r="V49" s="2"/>
      <c r="W49" s="2"/>
      <c r="X49" s="2"/>
      <c r="Y49" s="2"/>
      <c r="Z49" s="2"/>
      <c r="AA49" s="2"/>
      <c r="AB49" s="2"/>
    </row>
    <row r="50" spans="1:28" ht="21" customHeight="1">
      <c r="A50" s="2"/>
      <c r="B50" s="2"/>
      <c r="C50" s="55" t="s">
        <v>63</v>
      </c>
      <c r="D50" s="56"/>
      <c r="E50" s="12">
        <f>COUNTIFS(C11:C46,"有給")+COUNTIFS(C11:C46,"午前有給")*0.5+COUNTIFS(C11:C46,"午後有給")*0.5</f>
        <v>0</v>
      </c>
      <c r="G50" s="58" t="s">
        <v>75</v>
      </c>
      <c r="H50" s="58"/>
      <c r="I50" s="58"/>
      <c r="J50" s="46">
        <f>SUMIF(C11:C46,"法定休日出勤",I11:I46)</f>
        <v>0</v>
      </c>
      <c r="K50" s="2"/>
      <c r="L50" s="57"/>
      <c r="M50" s="57"/>
      <c r="N50" s="57"/>
      <c r="O50" s="2"/>
      <c r="P50" s="2"/>
      <c r="U50" s="2"/>
      <c r="V50" s="2"/>
      <c r="W50" s="2"/>
      <c r="X50" s="2"/>
      <c r="Y50" s="2"/>
      <c r="Z50" s="2"/>
      <c r="AA50" s="2"/>
      <c r="AB50" s="2"/>
    </row>
    <row r="51" spans="1:28" ht="21" customHeight="1">
      <c r="A51" s="2"/>
      <c r="B51" s="2"/>
      <c r="C51" s="55" t="s">
        <v>62</v>
      </c>
      <c r="D51" s="56"/>
      <c r="E51" s="6">
        <f>+COUNTIF(C11:C46,"出勤①")*8/24+COUNTIF(C11:C46,"出勤②")*8/24-E50*8/24</f>
        <v>7.666666666666667</v>
      </c>
      <c r="F51" s="2"/>
      <c r="G51" s="58" t="s">
        <v>76</v>
      </c>
      <c r="H51" s="58"/>
      <c r="I51" s="58"/>
      <c r="J51" s="46">
        <f>SUMIF(C11:C46,"所定休日出勤",I11:I46)</f>
        <v>0</v>
      </c>
      <c r="K51" s="2"/>
      <c r="L51" s="81"/>
      <c r="M51" s="81"/>
      <c r="N51" s="81"/>
      <c r="O51" s="2"/>
      <c r="P51" s="2"/>
      <c r="U51" s="2"/>
      <c r="V51" s="2"/>
      <c r="W51" s="2"/>
      <c r="X51" s="2"/>
      <c r="Y51" s="2"/>
      <c r="Z51" s="2"/>
      <c r="AA51" s="2"/>
      <c r="AB51" s="2"/>
    </row>
    <row r="52" spans="1:28" ht="18.75" customHeight="1">
      <c r="A52" s="2"/>
      <c r="B52" s="2"/>
      <c r="C52" s="55" t="s">
        <v>64</v>
      </c>
      <c r="D52" s="56"/>
      <c r="E52" s="6">
        <f>+COUNTIF(C11:C46,"出勤①")*8/24+COUNTIF(C11:C46,"出勤②")*8/24</f>
        <v>7.666666666666667</v>
      </c>
      <c r="F52" s="2"/>
      <c r="G52" s="58" t="s">
        <v>77</v>
      </c>
      <c r="H52" s="58"/>
      <c r="I52" s="58"/>
      <c r="J52" s="46">
        <f>+J50+J51</f>
        <v>0</v>
      </c>
      <c r="K52" s="2"/>
      <c r="L52" s="2"/>
      <c r="M52" s="2"/>
      <c r="N52" s="2"/>
      <c r="O52" s="2"/>
      <c r="P52" s="2"/>
      <c r="U52" s="2"/>
      <c r="V52" s="2"/>
      <c r="W52" s="2"/>
      <c r="X52" s="2"/>
      <c r="Y52" s="2"/>
    </row>
    <row r="53" spans="1:28" ht="18.75" customHeight="1">
      <c r="A53" s="2"/>
      <c r="B53" s="2"/>
      <c r="C53" s="2"/>
      <c r="D53" s="2"/>
      <c r="E53" s="2"/>
      <c r="F53" s="2"/>
      <c r="H53" s="2"/>
      <c r="I53" s="2"/>
      <c r="J53" s="2"/>
      <c r="K53" s="2"/>
      <c r="L53" s="32" t="s">
        <v>44</v>
      </c>
      <c r="M53" s="64" t="s">
        <v>41</v>
      </c>
      <c r="N53" s="73"/>
      <c r="O53" s="65"/>
      <c r="P53" s="83"/>
      <c r="U53" s="2"/>
      <c r="V53" s="2"/>
    </row>
    <row r="54" spans="1:28" ht="18.75" customHeight="1">
      <c r="A54" s="2"/>
      <c r="B54" s="2"/>
      <c r="C54" s="2"/>
      <c r="D54" s="2"/>
      <c r="E54" s="2"/>
      <c r="F54" s="2"/>
      <c r="H54" s="2"/>
      <c r="I54" s="2"/>
      <c r="J54" s="2"/>
      <c r="K54" s="2"/>
      <c r="L54" s="32" t="s">
        <v>45</v>
      </c>
      <c r="M54" s="70">
        <f>+L4+365*4+366+1</f>
        <v>47890</v>
      </c>
      <c r="N54" s="71"/>
      <c r="O54" s="72"/>
      <c r="P54" s="83"/>
      <c r="U54" s="2"/>
      <c r="V54" s="2"/>
      <c r="AA54" s="2"/>
      <c r="AB54" s="2"/>
    </row>
    <row r="55" spans="1:28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9" t="str" cm="1">
        <f t="array" aca="1" ref="O55" ca="1">+CELL("filename")</f>
        <v>C:\Users\kanda\OneDrive\デスクトップ\加工場所\ﾀﾞﾝﾌﾟ運転手用勤怠システム開発\dump-attendance\templates\[出勤簿_template.xlsx]出勤簿</v>
      </c>
      <c r="U55" s="2"/>
      <c r="V55" s="2"/>
      <c r="W55" s="2"/>
      <c r="X55" s="2"/>
      <c r="Y55" s="2"/>
      <c r="Z55" s="2"/>
      <c r="AA55" s="2"/>
      <c r="AB55" s="2"/>
    </row>
    <row r="56" spans="1:28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U56" s="2"/>
      <c r="V56" s="2"/>
      <c r="W56" s="2"/>
      <c r="X56" s="2"/>
      <c r="Y56" s="2"/>
      <c r="Z56" s="2"/>
      <c r="AA56" s="2"/>
      <c r="AB56" s="2"/>
    </row>
    <row r="57" spans="1:28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U57" s="2"/>
      <c r="V57" s="2"/>
      <c r="W57" s="2"/>
      <c r="X57" s="2"/>
      <c r="Y57" s="2"/>
      <c r="Z57" s="2"/>
      <c r="AA57" s="2"/>
      <c r="AB57" s="2"/>
    </row>
    <row r="58" spans="1:28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U58" s="2"/>
      <c r="V58" s="2"/>
      <c r="W58" s="2"/>
      <c r="X58" s="2"/>
      <c r="Y58" s="2"/>
      <c r="Z58" s="2"/>
      <c r="AA58" s="2"/>
      <c r="AB58" s="2"/>
    </row>
    <row r="59" spans="1:28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U59" s="2"/>
      <c r="V59" s="2"/>
      <c r="W59" s="2"/>
      <c r="X59" s="2"/>
      <c r="Y59" s="2"/>
      <c r="Z59" s="2"/>
      <c r="AA59" s="2"/>
      <c r="AB59" s="2"/>
    </row>
    <row r="60" spans="1:28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U60" s="2"/>
      <c r="V60" s="2"/>
      <c r="W60" s="2"/>
      <c r="X60" s="2"/>
      <c r="Y60" s="2"/>
      <c r="Z60" s="2"/>
      <c r="AA60" s="2"/>
      <c r="AB60" s="2"/>
    </row>
    <row r="61" spans="1:28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U61" s="2"/>
      <c r="V61" s="2"/>
      <c r="W61" s="2"/>
      <c r="X61" s="2"/>
      <c r="Y61" s="2"/>
      <c r="Z61" s="2"/>
      <c r="AA61" s="2"/>
      <c r="AB61" s="2"/>
    </row>
    <row r="62" spans="1:28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U62" s="2"/>
      <c r="V62" s="2"/>
      <c r="W62" s="2"/>
      <c r="X62" s="2"/>
      <c r="Y62" s="2"/>
      <c r="Z62" s="2"/>
      <c r="AA62" s="2"/>
      <c r="AB62" s="2"/>
    </row>
    <row r="63" spans="1:28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U63" s="2"/>
      <c r="V63" s="2"/>
      <c r="W63" s="2"/>
      <c r="X63" s="2"/>
      <c r="Y63" s="2"/>
      <c r="Z63" s="2"/>
      <c r="AA63" s="2"/>
      <c r="AB63" s="2"/>
    </row>
    <row r="64" spans="1:28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U64" s="2"/>
      <c r="V64" s="2"/>
      <c r="W64" s="2"/>
      <c r="X64" s="2"/>
      <c r="Y64" s="2"/>
      <c r="Z64" s="2"/>
      <c r="AA64" s="2"/>
      <c r="AB64" s="2"/>
    </row>
    <row r="65" spans="1:28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U65" s="2"/>
      <c r="V65" s="2"/>
      <c r="W65" s="2"/>
      <c r="X65" s="2"/>
      <c r="Y65" s="2"/>
      <c r="Z65" s="2"/>
      <c r="AA65" s="2"/>
      <c r="AB65" s="2"/>
    </row>
    <row r="66" spans="1:28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U66" s="2"/>
      <c r="V66" s="2"/>
      <c r="W66" s="2"/>
      <c r="X66" s="2"/>
      <c r="Y66" s="2"/>
      <c r="Z66" s="2"/>
      <c r="AA66" s="2"/>
      <c r="AB66" s="2"/>
    </row>
    <row r="67" spans="1:28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U67" s="2"/>
      <c r="V67" s="2"/>
      <c r="W67" s="2"/>
      <c r="X67" s="2"/>
      <c r="Y67" s="2"/>
      <c r="Z67" s="2"/>
      <c r="AA67" s="2"/>
      <c r="AB67" s="2"/>
    </row>
    <row r="68" spans="1:28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U68" s="2"/>
      <c r="V68" s="2"/>
      <c r="W68" s="2"/>
      <c r="X68" s="2"/>
      <c r="Y68" s="2"/>
      <c r="Z68" s="2"/>
      <c r="AA68" s="2"/>
      <c r="AB68" s="2"/>
    </row>
    <row r="69" spans="1:28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U69" s="2"/>
      <c r="V69" s="2"/>
      <c r="W69" s="2"/>
      <c r="X69" s="2"/>
      <c r="Y69" s="2"/>
      <c r="Z69" s="2"/>
      <c r="AA69" s="2"/>
      <c r="AB69" s="2"/>
    </row>
    <row r="70" spans="1:28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U70" s="2"/>
      <c r="V70" s="2"/>
      <c r="W70" s="2"/>
      <c r="X70" s="2"/>
      <c r="Y70" s="2"/>
      <c r="Z70" s="2"/>
      <c r="AA70" s="2"/>
      <c r="AB70" s="2"/>
    </row>
    <row r="71" spans="1:28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U71" s="2"/>
      <c r="V71" s="2"/>
      <c r="W71" s="2"/>
      <c r="X71" s="2"/>
      <c r="Y71" s="2"/>
      <c r="Z71" s="2"/>
      <c r="AA71" s="2"/>
      <c r="AB71" s="2"/>
    </row>
    <row r="72" spans="1:28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U72" s="2"/>
      <c r="V72" s="2"/>
      <c r="W72" s="2"/>
      <c r="X72" s="2"/>
      <c r="Y72" s="2"/>
      <c r="Z72" s="2"/>
      <c r="AA72" s="2"/>
      <c r="AB72" s="2"/>
    </row>
    <row r="73" spans="1:28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U73" s="2"/>
      <c r="V73" s="2"/>
      <c r="W73" s="2"/>
      <c r="X73" s="2"/>
      <c r="Y73" s="2"/>
      <c r="Z73" s="2"/>
      <c r="AA73" s="2"/>
      <c r="AB73" s="2"/>
    </row>
    <row r="74" spans="1:28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U74" s="2"/>
      <c r="V74" s="2"/>
      <c r="W74" s="2"/>
      <c r="X74" s="2"/>
      <c r="Y74" s="2"/>
      <c r="Z74" s="2"/>
      <c r="AA74" s="2"/>
      <c r="AB74" s="2"/>
    </row>
    <row r="75" spans="1:28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U75" s="2"/>
      <c r="V75" s="2"/>
      <c r="W75" s="2"/>
      <c r="X75" s="2"/>
      <c r="Y75" s="2"/>
      <c r="Z75" s="2"/>
      <c r="AA75" s="2"/>
      <c r="AB75" s="2"/>
    </row>
    <row r="76" spans="1:28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U76" s="2"/>
      <c r="V76" s="2"/>
      <c r="W76" s="2"/>
      <c r="X76" s="2"/>
      <c r="Y76" s="2"/>
      <c r="Z76" s="2"/>
      <c r="AA76" s="2"/>
      <c r="AB76" s="2"/>
    </row>
    <row r="77" spans="1:28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U77" s="2"/>
      <c r="V77" s="2"/>
      <c r="W77" s="2"/>
      <c r="X77" s="2"/>
      <c r="Y77" s="2"/>
      <c r="Z77" s="2"/>
      <c r="AA77" s="2"/>
      <c r="AB77" s="2"/>
    </row>
    <row r="78" spans="1:28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U78" s="2"/>
      <c r="V78" s="2"/>
      <c r="W78" s="2"/>
      <c r="X78" s="2"/>
      <c r="Y78" s="2"/>
      <c r="Z78" s="2"/>
      <c r="AA78" s="2"/>
      <c r="AB78" s="2"/>
    </row>
    <row r="79" spans="1:28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U79" s="2"/>
      <c r="V79" s="2"/>
      <c r="W79" s="2"/>
      <c r="X79" s="2"/>
      <c r="Y79" s="2"/>
      <c r="Z79" s="2"/>
      <c r="AA79" s="2"/>
      <c r="AB79" s="2"/>
    </row>
    <row r="80" spans="1:28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U80" s="2"/>
      <c r="V80" s="2"/>
      <c r="W80" s="2"/>
      <c r="X80" s="2"/>
      <c r="Y80" s="2"/>
      <c r="Z80" s="2"/>
      <c r="AA80" s="2"/>
      <c r="AB80" s="2"/>
    </row>
    <row r="81" spans="1:28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U81" s="2"/>
      <c r="V81" s="2"/>
      <c r="W81" s="2"/>
      <c r="X81" s="2"/>
      <c r="Y81" s="2"/>
      <c r="Z81" s="2"/>
      <c r="AA81" s="2"/>
      <c r="AB81" s="2"/>
    </row>
    <row r="82" spans="1:28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U82" s="2"/>
      <c r="V82" s="2"/>
      <c r="W82" s="2"/>
      <c r="X82" s="2"/>
      <c r="Y82" s="2"/>
      <c r="Z82" s="2"/>
      <c r="AA82" s="2"/>
      <c r="AB82" s="2"/>
    </row>
    <row r="83" spans="1:28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U83" s="2"/>
      <c r="V83" s="2"/>
      <c r="W83" s="2"/>
      <c r="X83" s="2"/>
      <c r="Y83" s="2"/>
      <c r="Z83" s="2"/>
      <c r="AA83" s="2"/>
      <c r="AB83" s="2"/>
    </row>
    <row r="84" spans="1:28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U84" s="2"/>
      <c r="V84" s="2"/>
      <c r="W84" s="2"/>
      <c r="X84" s="2"/>
      <c r="Y84" s="2"/>
      <c r="Z84" s="2"/>
      <c r="AA84" s="2"/>
      <c r="AB84" s="2"/>
    </row>
    <row r="85" spans="1:28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U85" s="2"/>
      <c r="V85" s="2"/>
      <c r="W85" s="2"/>
      <c r="X85" s="2"/>
      <c r="Y85" s="2"/>
      <c r="Z85" s="2"/>
      <c r="AA85" s="2"/>
      <c r="AB85" s="2"/>
    </row>
    <row r="86" spans="1:28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U86" s="2"/>
      <c r="V86" s="2"/>
      <c r="W86" s="2"/>
      <c r="X86" s="2"/>
      <c r="Y86" s="2"/>
      <c r="Z86" s="2"/>
      <c r="AA86" s="2"/>
      <c r="AB86" s="2"/>
    </row>
    <row r="87" spans="1:28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U87" s="2"/>
      <c r="V87" s="2"/>
      <c r="W87" s="2"/>
      <c r="X87" s="2"/>
      <c r="Y87" s="2"/>
      <c r="Z87" s="2"/>
      <c r="AA87" s="2"/>
      <c r="AB87" s="2"/>
    </row>
    <row r="88" spans="1:28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U88" s="2"/>
      <c r="V88" s="2"/>
      <c r="W88" s="2"/>
      <c r="X88" s="2"/>
      <c r="Y88" s="2"/>
      <c r="Z88" s="2"/>
      <c r="AA88" s="2"/>
      <c r="AB88" s="2"/>
    </row>
    <row r="89" spans="1:28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U89" s="2"/>
      <c r="V89" s="2"/>
      <c r="W89" s="2"/>
      <c r="X89" s="2"/>
      <c r="Y89" s="2"/>
      <c r="Z89" s="2"/>
      <c r="AA89" s="2"/>
      <c r="AB89" s="2"/>
    </row>
    <row r="90" spans="1:28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U90" s="2"/>
      <c r="V90" s="2"/>
      <c r="W90" s="2"/>
      <c r="X90" s="2"/>
      <c r="Y90" s="2"/>
      <c r="Z90" s="2"/>
      <c r="AA90" s="2"/>
      <c r="AB90" s="2"/>
    </row>
    <row r="91" spans="1:28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U91" s="2"/>
      <c r="V91" s="2"/>
      <c r="W91" s="2"/>
      <c r="X91" s="2"/>
      <c r="Y91" s="2"/>
      <c r="Z91" s="2"/>
      <c r="AA91" s="2"/>
      <c r="AB91" s="2"/>
    </row>
    <row r="92" spans="1:28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U92" s="2"/>
      <c r="V92" s="2"/>
      <c r="W92" s="2"/>
      <c r="X92" s="2"/>
      <c r="Y92" s="2"/>
      <c r="Z92" s="2"/>
      <c r="AA92" s="2"/>
      <c r="AB92" s="2"/>
    </row>
    <row r="93" spans="1:28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U93" s="2"/>
      <c r="V93" s="2"/>
      <c r="W93" s="2"/>
      <c r="X93" s="2"/>
      <c r="Y93" s="2"/>
      <c r="Z93" s="2"/>
      <c r="AA93" s="2"/>
      <c r="AB93" s="2"/>
    </row>
    <row r="94" spans="1:28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U94" s="2"/>
      <c r="V94" s="2"/>
      <c r="W94" s="2"/>
      <c r="X94" s="2"/>
      <c r="Y94" s="2"/>
      <c r="Z94" s="2"/>
      <c r="AA94" s="2"/>
      <c r="AB94" s="2"/>
    </row>
    <row r="95" spans="1:28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U95" s="2"/>
      <c r="V95" s="2"/>
      <c r="W95" s="2"/>
      <c r="X95" s="2"/>
      <c r="Y95" s="2"/>
      <c r="Z95" s="2"/>
      <c r="AA95" s="2"/>
      <c r="AB95" s="2"/>
    </row>
    <row r="96" spans="1:28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U96" s="2"/>
      <c r="V96" s="2"/>
      <c r="W96" s="2"/>
      <c r="X96" s="2"/>
      <c r="Y96" s="2"/>
      <c r="Z96" s="2"/>
      <c r="AA96" s="2"/>
      <c r="AB96" s="2"/>
    </row>
    <row r="97" spans="1:28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U97" s="2"/>
      <c r="V97" s="2"/>
      <c r="W97" s="2"/>
      <c r="X97" s="2"/>
      <c r="Y97" s="2"/>
      <c r="Z97" s="2"/>
      <c r="AA97" s="2"/>
      <c r="AB97" s="2"/>
    </row>
    <row r="98" spans="1:28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U98" s="2"/>
      <c r="V98" s="2"/>
      <c r="W98" s="2"/>
      <c r="X98" s="2"/>
      <c r="Y98" s="2"/>
      <c r="Z98" s="2"/>
      <c r="AA98" s="2"/>
      <c r="AB98" s="2"/>
    </row>
    <row r="99" spans="1:28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U99" s="2"/>
      <c r="V99" s="2"/>
      <c r="W99" s="2"/>
      <c r="X99" s="2"/>
      <c r="Y99" s="2"/>
      <c r="Z99" s="2"/>
      <c r="AA99" s="2"/>
      <c r="AB99" s="2"/>
    </row>
    <row r="100" spans="1:28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U100" s="2"/>
      <c r="V100" s="2"/>
      <c r="W100" s="2"/>
      <c r="X100" s="2"/>
      <c r="Y100" s="2"/>
      <c r="Z100" s="2"/>
      <c r="AA100" s="2"/>
      <c r="AB100" s="2"/>
    </row>
    <row r="101" spans="1:28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U101" s="2"/>
      <c r="V101" s="2"/>
      <c r="W101" s="2"/>
      <c r="X101" s="2"/>
      <c r="Y101" s="2"/>
      <c r="Z101" s="2"/>
      <c r="AA101" s="2"/>
      <c r="AB101" s="2"/>
    </row>
    <row r="102" spans="1:28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U102" s="2"/>
      <c r="V102" s="2"/>
      <c r="W102" s="2"/>
      <c r="X102" s="2"/>
      <c r="Y102" s="2"/>
      <c r="Z102" s="2"/>
      <c r="AA102" s="2"/>
      <c r="AB102" s="2"/>
    </row>
    <row r="103" spans="1:28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U103" s="2"/>
      <c r="V103" s="2"/>
      <c r="W103" s="2"/>
      <c r="X103" s="2"/>
      <c r="Y103" s="2"/>
      <c r="Z103" s="2"/>
      <c r="AA103" s="2"/>
      <c r="AB103" s="2"/>
    </row>
    <row r="104" spans="1:28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U104" s="2"/>
      <c r="V104" s="2"/>
      <c r="W104" s="2"/>
      <c r="X104" s="2"/>
      <c r="Y104" s="2"/>
      <c r="Z104" s="2"/>
      <c r="AA104" s="2"/>
      <c r="AB104" s="2"/>
    </row>
    <row r="105" spans="1:28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U105" s="2"/>
      <c r="V105" s="2"/>
      <c r="W105" s="2"/>
      <c r="X105" s="2"/>
      <c r="Y105" s="2"/>
      <c r="Z105" s="2"/>
      <c r="AA105" s="2"/>
      <c r="AB105" s="2"/>
    </row>
    <row r="106" spans="1:28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U106" s="2"/>
      <c r="V106" s="2"/>
      <c r="W106" s="2"/>
      <c r="X106" s="2"/>
      <c r="Y106" s="2"/>
      <c r="Z106" s="2"/>
      <c r="AA106" s="2"/>
      <c r="AB106" s="2"/>
    </row>
    <row r="107" spans="1:28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U107" s="2"/>
      <c r="V107" s="2"/>
      <c r="W107" s="2"/>
      <c r="X107" s="2"/>
      <c r="Y107" s="2"/>
      <c r="Z107" s="2"/>
      <c r="AA107" s="2"/>
      <c r="AB107" s="2"/>
    </row>
    <row r="108" spans="1:28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U108" s="2"/>
      <c r="V108" s="2"/>
      <c r="W108" s="2"/>
      <c r="X108" s="2"/>
      <c r="Y108" s="2"/>
      <c r="Z108" s="2"/>
      <c r="AA108" s="2"/>
      <c r="AB108" s="2"/>
    </row>
    <row r="109" spans="1:28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U109" s="2"/>
      <c r="V109" s="2"/>
      <c r="W109" s="2"/>
      <c r="X109" s="2"/>
      <c r="Y109" s="2"/>
      <c r="Z109" s="2"/>
      <c r="AA109" s="2"/>
      <c r="AB109" s="2"/>
    </row>
    <row r="110" spans="1:28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U110" s="2"/>
      <c r="V110" s="2"/>
      <c r="W110" s="2"/>
      <c r="X110" s="2"/>
      <c r="Y110" s="2"/>
      <c r="Z110" s="2"/>
      <c r="AA110" s="2"/>
      <c r="AB110" s="2"/>
    </row>
    <row r="111" spans="1:28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U111" s="2"/>
      <c r="V111" s="2"/>
      <c r="W111" s="2"/>
      <c r="X111" s="2"/>
      <c r="Y111" s="2"/>
      <c r="Z111" s="2"/>
      <c r="AA111" s="2"/>
      <c r="AB111" s="2"/>
    </row>
    <row r="112" spans="1:28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U112" s="2"/>
      <c r="V112" s="2"/>
      <c r="W112" s="2"/>
      <c r="X112" s="2"/>
      <c r="Y112" s="2"/>
      <c r="Z112" s="2"/>
      <c r="AA112" s="2"/>
      <c r="AB112" s="2"/>
    </row>
    <row r="113" spans="1:28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U113" s="2"/>
      <c r="V113" s="2"/>
      <c r="W113" s="2"/>
      <c r="X113" s="2"/>
      <c r="Y113" s="2"/>
      <c r="Z113" s="2"/>
      <c r="AA113" s="2"/>
      <c r="AB113" s="2"/>
    </row>
    <row r="114" spans="1:28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U114" s="2"/>
      <c r="V114" s="2"/>
      <c r="W114" s="2"/>
      <c r="X114" s="2"/>
      <c r="Y114" s="2"/>
      <c r="Z114" s="2"/>
      <c r="AA114" s="2"/>
      <c r="AB114" s="2"/>
    </row>
    <row r="115" spans="1:28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U115" s="2"/>
      <c r="V115" s="2"/>
      <c r="W115" s="2"/>
      <c r="X115" s="2"/>
      <c r="Y115" s="2"/>
      <c r="Z115" s="2"/>
      <c r="AA115" s="2"/>
      <c r="AB115" s="2"/>
    </row>
    <row r="116" spans="1:28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U116" s="2"/>
      <c r="V116" s="2"/>
      <c r="W116" s="2"/>
      <c r="X116" s="2"/>
      <c r="Y116" s="2"/>
      <c r="Z116" s="2"/>
      <c r="AA116" s="2"/>
      <c r="AB116" s="2"/>
    </row>
    <row r="117" spans="1:28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U117" s="2"/>
      <c r="V117" s="2"/>
      <c r="W117" s="2"/>
      <c r="X117" s="2"/>
      <c r="Y117" s="2"/>
      <c r="Z117" s="2"/>
      <c r="AA117" s="2"/>
      <c r="AB117" s="2"/>
    </row>
    <row r="118" spans="1:28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U118" s="2"/>
      <c r="V118" s="2"/>
      <c r="W118" s="2"/>
      <c r="X118" s="2"/>
      <c r="Y118" s="2"/>
      <c r="Z118" s="2"/>
      <c r="AA118" s="2"/>
      <c r="AB118" s="2"/>
    </row>
    <row r="119" spans="1:28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U119" s="2"/>
      <c r="V119" s="2"/>
      <c r="W119" s="2"/>
      <c r="X119" s="2"/>
      <c r="Y119" s="2"/>
      <c r="Z119" s="2"/>
      <c r="AA119" s="2"/>
      <c r="AB119" s="2"/>
    </row>
    <row r="120" spans="1:28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U120" s="2"/>
      <c r="V120" s="2"/>
      <c r="W120" s="2"/>
      <c r="X120" s="2"/>
      <c r="Y120" s="2"/>
      <c r="Z120" s="2"/>
      <c r="AA120" s="2"/>
      <c r="AB120" s="2"/>
    </row>
    <row r="121" spans="1:28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U121" s="2"/>
      <c r="V121" s="2"/>
      <c r="W121" s="2"/>
      <c r="X121" s="2"/>
      <c r="Y121" s="2"/>
      <c r="Z121" s="2"/>
      <c r="AA121" s="2"/>
      <c r="AB121" s="2"/>
    </row>
    <row r="122" spans="1:28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U122" s="2"/>
      <c r="V122" s="2"/>
      <c r="W122" s="2"/>
      <c r="X122" s="2"/>
      <c r="Y122" s="2"/>
      <c r="Z122" s="2"/>
      <c r="AA122" s="2"/>
      <c r="AB122" s="2"/>
    </row>
    <row r="123" spans="1:28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U123" s="2"/>
      <c r="V123" s="2"/>
      <c r="W123" s="2"/>
      <c r="X123" s="2"/>
      <c r="Y123" s="2"/>
      <c r="Z123" s="2"/>
      <c r="AA123" s="2"/>
      <c r="AB123" s="2"/>
    </row>
    <row r="124" spans="1:28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U124" s="2"/>
      <c r="V124" s="2"/>
      <c r="W124" s="2"/>
      <c r="X124" s="2"/>
      <c r="Y124" s="2"/>
      <c r="Z124" s="2"/>
      <c r="AA124" s="2"/>
      <c r="AB124" s="2"/>
    </row>
    <row r="125" spans="1:28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U125" s="2"/>
      <c r="V125" s="2"/>
      <c r="W125" s="2"/>
      <c r="X125" s="2"/>
      <c r="Y125" s="2"/>
      <c r="Z125" s="2"/>
      <c r="AA125" s="2"/>
      <c r="AB125" s="2"/>
    </row>
    <row r="126" spans="1:28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U126" s="2"/>
      <c r="V126" s="2"/>
      <c r="W126" s="2"/>
      <c r="X126" s="2"/>
      <c r="Y126" s="2"/>
      <c r="Z126" s="2"/>
      <c r="AA126" s="2"/>
      <c r="AB126" s="2"/>
    </row>
    <row r="127" spans="1:28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U127" s="2"/>
      <c r="V127" s="2"/>
      <c r="W127" s="2"/>
      <c r="X127" s="2"/>
      <c r="Y127" s="2"/>
      <c r="Z127" s="2"/>
      <c r="AA127" s="2"/>
      <c r="AB127" s="2"/>
    </row>
    <row r="128" spans="1:28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U128" s="2"/>
      <c r="V128" s="2"/>
      <c r="W128" s="2"/>
      <c r="X128" s="2"/>
      <c r="Y128" s="2"/>
      <c r="Z128" s="2"/>
      <c r="AA128" s="2"/>
      <c r="AB128" s="2"/>
    </row>
    <row r="129" spans="1:28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U129" s="2"/>
      <c r="V129" s="2"/>
      <c r="W129" s="2"/>
      <c r="X129" s="2"/>
      <c r="Y129" s="2"/>
      <c r="Z129" s="2"/>
      <c r="AA129" s="2"/>
      <c r="AB129" s="2"/>
    </row>
    <row r="130" spans="1:28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U130" s="2"/>
      <c r="V130" s="2"/>
      <c r="W130" s="2"/>
      <c r="X130" s="2"/>
      <c r="Y130" s="2"/>
      <c r="Z130" s="2"/>
      <c r="AA130" s="2"/>
      <c r="AB130" s="2"/>
    </row>
    <row r="131" spans="1:28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U131" s="2"/>
      <c r="V131" s="2"/>
      <c r="W131" s="2"/>
      <c r="X131" s="2"/>
      <c r="Y131" s="2"/>
      <c r="Z131" s="2"/>
      <c r="AA131" s="2"/>
      <c r="AB131" s="2"/>
    </row>
    <row r="132" spans="1:28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U132" s="2"/>
      <c r="V132" s="2"/>
      <c r="W132" s="2"/>
      <c r="X132" s="2"/>
      <c r="Y132" s="2"/>
      <c r="Z132" s="2"/>
      <c r="AA132" s="2"/>
      <c r="AB132" s="2"/>
    </row>
    <row r="133" spans="1:28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U133" s="2"/>
      <c r="V133" s="2"/>
      <c r="W133" s="2"/>
      <c r="X133" s="2"/>
      <c r="Y133" s="2"/>
      <c r="Z133" s="2"/>
      <c r="AA133" s="2"/>
      <c r="AB133" s="2"/>
    </row>
    <row r="134" spans="1:28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U134" s="2"/>
      <c r="V134" s="2"/>
      <c r="W134" s="2"/>
      <c r="X134" s="2"/>
      <c r="Y134" s="2"/>
      <c r="Z134" s="2"/>
      <c r="AA134" s="2"/>
      <c r="AB134" s="2"/>
    </row>
    <row r="135" spans="1:28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U135" s="2"/>
      <c r="V135" s="2"/>
      <c r="W135" s="2"/>
      <c r="X135" s="2"/>
      <c r="Y135" s="2"/>
      <c r="Z135" s="2"/>
      <c r="AA135" s="2"/>
      <c r="AB135" s="2"/>
    </row>
    <row r="136" spans="1:28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U136" s="2"/>
      <c r="V136" s="2"/>
      <c r="W136" s="2"/>
      <c r="X136" s="2"/>
      <c r="Y136" s="2"/>
      <c r="Z136" s="2"/>
      <c r="AA136" s="2"/>
      <c r="AB136" s="2"/>
    </row>
    <row r="137" spans="1:28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U137" s="2"/>
      <c r="V137" s="2"/>
      <c r="W137" s="2"/>
      <c r="X137" s="2"/>
      <c r="Y137" s="2"/>
      <c r="Z137" s="2"/>
      <c r="AA137" s="2"/>
      <c r="AB137" s="2"/>
    </row>
    <row r="138" spans="1:28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U138" s="2"/>
      <c r="V138" s="2"/>
      <c r="W138" s="2"/>
      <c r="X138" s="2"/>
      <c r="Y138" s="2"/>
      <c r="Z138" s="2"/>
      <c r="AA138" s="2"/>
      <c r="AB138" s="2"/>
    </row>
    <row r="139" spans="1:28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U139" s="2"/>
      <c r="V139" s="2"/>
      <c r="W139" s="2"/>
      <c r="X139" s="2"/>
      <c r="Y139" s="2"/>
      <c r="Z139" s="2"/>
      <c r="AA139" s="2"/>
      <c r="AB139" s="2"/>
    </row>
    <row r="140" spans="1:28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U140" s="2"/>
      <c r="V140" s="2"/>
      <c r="W140" s="2"/>
      <c r="X140" s="2"/>
      <c r="Y140" s="2"/>
      <c r="Z140" s="2"/>
      <c r="AA140" s="2"/>
      <c r="AB140" s="2"/>
    </row>
    <row r="141" spans="1:28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U141" s="2"/>
      <c r="V141" s="2"/>
      <c r="W141" s="2"/>
      <c r="X141" s="2"/>
      <c r="Y141" s="2"/>
      <c r="Z141" s="2"/>
      <c r="AA141" s="2"/>
      <c r="AB141" s="2"/>
    </row>
    <row r="142" spans="1:28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U142" s="2"/>
      <c r="V142" s="2"/>
      <c r="W142" s="2"/>
      <c r="X142" s="2"/>
      <c r="Y142" s="2"/>
      <c r="Z142" s="2"/>
      <c r="AA142" s="2"/>
      <c r="AB142" s="2"/>
    </row>
    <row r="143" spans="1:28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U143" s="2"/>
      <c r="V143" s="2"/>
      <c r="W143" s="2"/>
      <c r="X143" s="2"/>
      <c r="Y143" s="2"/>
      <c r="Z143" s="2"/>
      <c r="AA143" s="2"/>
      <c r="AB143" s="2"/>
    </row>
    <row r="144" spans="1:28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U144" s="2"/>
      <c r="V144" s="2"/>
      <c r="W144" s="2"/>
      <c r="X144" s="2"/>
      <c r="Y144" s="2"/>
      <c r="Z144" s="2"/>
      <c r="AA144" s="2"/>
      <c r="AB144" s="2"/>
    </row>
    <row r="145" spans="1:28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U145" s="2"/>
      <c r="V145" s="2"/>
      <c r="W145" s="2"/>
      <c r="X145" s="2"/>
      <c r="Y145" s="2"/>
      <c r="Z145" s="2"/>
      <c r="AA145" s="2"/>
      <c r="AB145" s="2"/>
    </row>
    <row r="146" spans="1:28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U146" s="2"/>
      <c r="V146" s="2"/>
      <c r="W146" s="2"/>
      <c r="X146" s="2"/>
      <c r="Y146" s="2"/>
      <c r="Z146" s="2"/>
      <c r="AA146" s="2"/>
      <c r="AB146" s="2"/>
    </row>
    <row r="147" spans="1:28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U147" s="2"/>
      <c r="V147" s="2"/>
      <c r="W147" s="2"/>
      <c r="X147" s="2"/>
      <c r="Y147" s="2"/>
      <c r="Z147" s="2"/>
      <c r="AA147" s="2"/>
      <c r="AB147" s="2"/>
    </row>
    <row r="148" spans="1:28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U148" s="2"/>
      <c r="V148" s="2"/>
      <c r="W148" s="2"/>
      <c r="X148" s="2"/>
      <c r="Y148" s="2"/>
      <c r="Z148" s="2"/>
      <c r="AA148" s="2"/>
      <c r="AB148" s="2"/>
    </row>
    <row r="149" spans="1:28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U149" s="2"/>
      <c r="V149" s="2"/>
      <c r="W149" s="2"/>
      <c r="X149" s="2"/>
      <c r="Y149" s="2"/>
      <c r="Z149" s="2"/>
      <c r="AA149" s="2"/>
      <c r="AB149" s="2"/>
    </row>
    <row r="150" spans="1:28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U150" s="2"/>
      <c r="V150" s="2"/>
      <c r="W150" s="2"/>
      <c r="X150" s="2"/>
      <c r="Y150" s="2"/>
      <c r="Z150" s="2"/>
      <c r="AA150" s="2"/>
      <c r="AB150" s="2"/>
    </row>
    <row r="151" spans="1:28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U151" s="2"/>
      <c r="V151" s="2"/>
      <c r="W151" s="2"/>
      <c r="X151" s="2"/>
      <c r="Y151" s="2"/>
      <c r="Z151" s="2"/>
      <c r="AA151" s="2"/>
      <c r="AB151" s="2"/>
    </row>
    <row r="152" spans="1:28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U152" s="2"/>
      <c r="V152" s="2"/>
      <c r="W152" s="2"/>
      <c r="X152" s="2"/>
      <c r="Y152" s="2"/>
      <c r="Z152" s="2"/>
      <c r="AA152" s="2"/>
      <c r="AB152" s="2"/>
    </row>
    <row r="153" spans="1:28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U153" s="2"/>
      <c r="V153" s="2"/>
      <c r="W153" s="2"/>
      <c r="X153" s="2"/>
      <c r="Y153" s="2"/>
      <c r="Z153" s="2"/>
      <c r="AA153" s="2"/>
      <c r="AB153" s="2"/>
    </row>
    <row r="154" spans="1:28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U154" s="2"/>
      <c r="V154" s="2"/>
      <c r="W154" s="2"/>
      <c r="X154" s="2"/>
      <c r="Y154" s="2"/>
      <c r="Z154" s="2"/>
      <c r="AA154" s="2"/>
      <c r="AB154" s="2"/>
    </row>
    <row r="155" spans="1:28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U155" s="2"/>
      <c r="V155" s="2"/>
      <c r="W155" s="2"/>
      <c r="X155" s="2"/>
      <c r="Y155" s="2"/>
      <c r="Z155" s="2"/>
      <c r="AA155" s="2"/>
      <c r="AB155" s="2"/>
    </row>
    <row r="156" spans="1:28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U156" s="2"/>
      <c r="V156" s="2"/>
      <c r="W156" s="2"/>
      <c r="X156" s="2"/>
      <c r="Y156" s="2"/>
      <c r="Z156" s="2"/>
      <c r="AA156" s="2"/>
      <c r="AB156" s="2"/>
    </row>
    <row r="157" spans="1:28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U157" s="2"/>
      <c r="V157" s="2"/>
      <c r="W157" s="2"/>
      <c r="X157" s="2"/>
      <c r="Y157" s="2"/>
      <c r="Z157" s="2"/>
      <c r="AA157" s="2"/>
      <c r="AB157" s="2"/>
    </row>
    <row r="158" spans="1:28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U158" s="2"/>
      <c r="V158" s="2"/>
      <c r="W158" s="2"/>
      <c r="X158" s="2"/>
      <c r="Y158" s="2"/>
      <c r="Z158" s="2"/>
      <c r="AA158" s="2"/>
      <c r="AB158" s="2"/>
    </row>
    <row r="159" spans="1:28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U159" s="2"/>
      <c r="V159" s="2"/>
      <c r="W159" s="2"/>
      <c r="X159" s="2"/>
      <c r="Y159" s="2"/>
      <c r="Z159" s="2"/>
      <c r="AA159" s="2"/>
      <c r="AB159" s="2"/>
    </row>
    <row r="160" spans="1:28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U160" s="2"/>
      <c r="V160" s="2"/>
      <c r="W160" s="2"/>
      <c r="X160" s="2"/>
      <c r="Y160" s="2"/>
      <c r="Z160" s="2"/>
      <c r="AA160" s="2"/>
      <c r="AB160" s="2"/>
    </row>
    <row r="161" spans="1:28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U161" s="2"/>
      <c r="V161" s="2"/>
      <c r="W161" s="2"/>
      <c r="X161" s="2"/>
      <c r="Y161" s="2"/>
      <c r="Z161" s="2"/>
      <c r="AA161" s="2"/>
      <c r="AB161" s="2"/>
    </row>
    <row r="162" spans="1:28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U162" s="2"/>
      <c r="V162" s="2"/>
      <c r="W162" s="2"/>
      <c r="X162" s="2"/>
      <c r="Y162" s="2"/>
      <c r="Z162" s="2"/>
      <c r="AA162" s="2"/>
      <c r="AB162" s="2"/>
    </row>
    <row r="163" spans="1:28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U163" s="2"/>
      <c r="V163" s="2"/>
      <c r="W163" s="2"/>
      <c r="X163" s="2"/>
      <c r="Y163" s="2"/>
      <c r="Z163" s="2"/>
      <c r="AA163" s="2"/>
      <c r="AB163" s="2"/>
    </row>
    <row r="164" spans="1:28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U164" s="2"/>
      <c r="V164" s="2"/>
      <c r="W164" s="2"/>
      <c r="X164" s="2"/>
      <c r="Y164" s="2"/>
      <c r="Z164" s="2"/>
      <c r="AA164" s="2"/>
      <c r="AB164" s="2"/>
    </row>
    <row r="165" spans="1:28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U165" s="2"/>
      <c r="V165" s="2"/>
      <c r="W165" s="2"/>
      <c r="X165" s="2"/>
      <c r="Y165" s="2"/>
      <c r="Z165" s="2"/>
      <c r="AA165" s="2"/>
      <c r="AB165" s="2"/>
    </row>
    <row r="166" spans="1:28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U166" s="2"/>
      <c r="V166" s="2"/>
      <c r="W166" s="2"/>
      <c r="X166" s="2"/>
      <c r="Y166" s="2"/>
      <c r="Z166" s="2"/>
      <c r="AA166" s="2"/>
      <c r="AB166" s="2"/>
    </row>
    <row r="167" spans="1:28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U167" s="2"/>
      <c r="V167" s="2"/>
      <c r="W167" s="2"/>
      <c r="X167" s="2"/>
      <c r="Y167" s="2"/>
      <c r="Z167" s="2"/>
      <c r="AA167" s="2"/>
      <c r="AB167" s="2"/>
    </row>
    <row r="168" spans="1:28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U168" s="2"/>
      <c r="V168" s="2"/>
      <c r="W168" s="2"/>
      <c r="X168" s="2"/>
      <c r="Y168" s="2"/>
      <c r="Z168" s="2"/>
      <c r="AA168" s="2"/>
      <c r="AB168" s="2"/>
    </row>
    <row r="169" spans="1:28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U169" s="2"/>
      <c r="V169" s="2"/>
      <c r="W169" s="2"/>
      <c r="X169" s="2"/>
      <c r="Y169" s="2"/>
      <c r="Z169" s="2"/>
      <c r="AA169" s="2"/>
      <c r="AB169" s="2"/>
    </row>
    <row r="170" spans="1:28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U170" s="2"/>
      <c r="V170" s="2"/>
      <c r="W170" s="2"/>
      <c r="X170" s="2"/>
      <c r="Y170" s="2"/>
      <c r="Z170" s="2"/>
      <c r="AA170" s="2"/>
      <c r="AB170" s="2"/>
    </row>
    <row r="171" spans="1:28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U171" s="2"/>
      <c r="V171" s="2"/>
      <c r="W171" s="2"/>
      <c r="X171" s="2"/>
      <c r="Y171" s="2"/>
      <c r="Z171" s="2"/>
      <c r="AA171" s="2"/>
      <c r="AB171" s="2"/>
    </row>
    <row r="172" spans="1:28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U172" s="2"/>
      <c r="V172" s="2"/>
      <c r="W172" s="2"/>
      <c r="X172" s="2"/>
      <c r="Y172" s="2"/>
      <c r="Z172" s="2"/>
      <c r="AA172" s="2"/>
      <c r="AB172" s="2"/>
    </row>
    <row r="173" spans="1:28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U173" s="2"/>
      <c r="V173" s="2"/>
      <c r="W173" s="2"/>
      <c r="X173" s="2"/>
      <c r="Y173" s="2"/>
      <c r="Z173" s="2"/>
      <c r="AA173" s="2"/>
      <c r="AB173" s="2"/>
    </row>
    <row r="174" spans="1:28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U174" s="2"/>
      <c r="V174" s="2"/>
      <c r="W174" s="2"/>
      <c r="X174" s="2"/>
      <c r="Y174" s="2"/>
      <c r="Z174" s="2"/>
      <c r="AA174" s="2"/>
      <c r="AB174" s="2"/>
    </row>
    <row r="175" spans="1:28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U175" s="2"/>
      <c r="V175" s="2"/>
      <c r="W175" s="2"/>
      <c r="X175" s="2"/>
      <c r="Y175" s="2"/>
      <c r="Z175" s="2"/>
      <c r="AA175" s="2"/>
      <c r="AB175" s="2"/>
    </row>
    <row r="176" spans="1:28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U176" s="2"/>
      <c r="V176" s="2"/>
      <c r="W176" s="2"/>
      <c r="X176" s="2"/>
      <c r="Y176" s="2"/>
      <c r="Z176" s="2"/>
      <c r="AA176" s="2"/>
      <c r="AB176" s="2"/>
    </row>
    <row r="177" spans="1:28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U177" s="2"/>
      <c r="V177" s="2"/>
      <c r="W177" s="2"/>
      <c r="X177" s="2"/>
      <c r="Y177" s="2"/>
      <c r="Z177" s="2"/>
      <c r="AA177" s="2"/>
      <c r="AB177" s="2"/>
    </row>
    <row r="178" spans="1:28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U178" s="2"/>
      <c r="V178" s="2"/>
      <c r="W178" s="2"/>
      <c r="X178" s="2"/>
      <c r="Y178" s="2"/>
      <c r="Z178" s="2"/>
      <c r="AA178" s="2"/>
      <c r="AB178" s="2"/>
    </row>
    <row r="179" spans="1:28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U179" s="2"/>
      <c r="V179" s="2"/>
      <c r="W179" s="2"/>
      <c r="X179" s="2"/>
      <c r="Y179" s="2"/>
      <c r="Z179" s="2"/>
      <c r="AA179" s="2"/>
      <c r="AB179" s="2"/>
    </row>
    <row r="180" spans="1:28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U180" s="2"/>
      <c r="V180" s="2"/>
      <c r="W180" s="2"/>
      <c r="X180" s="2"/>
      <c r="Y180" s="2"/>
      <c r="Z180" s="2"/>
      <c r="AA180" s="2"/>
      <c r="AB180" s="2"/>
    </row>
    <row r="181" spans="1:28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U181" s="2"/>
      <c r="V181" s="2"/>
      <c r="W181" s="2"/>
      <c r="X181" s="2"/>
      <c r="Y181" s="2"/>
      <c r="Z181" s="2"/>
      <c r="AA181" s="2"/>
      <c r="AB181" s="2"/>
    </row>
    <row r="182" spans="1:28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U182" s="2"/>
      <c r="V182" s="2"/>
      <c r="W182" s="2"/>
      <c r="X182" s="2"/>
      <c r="Y182" s="2"/>
      <c r="Z182" s="2"/>
      <c r="AA182" s="2"/>
      <c r="AB182" s="2"/>
    </row>
    <row r="183" spans="1:28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U183" s="2"/>
      <c r="V183" s="2"/>
      <c r="W183" s="2"/>
      <c r="X183" s="2"/>
      <c r="Y183" s="2"/>
      <c r="Z183" s="2"/>
      <c r="AA183" s="2"/>
      <c r="AB183" s="2"/>
    </row>
    <row r="184" spans="1:28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U184" s="2"/>
      <c r="V184" s="2"/>
      <c r="W184" s="2"/>
      <c r="X184" s="2"/>
      <c r="Y184" s="2"/>
      <c r="Z184" s="2"/>
      <c r="AA184" s="2"/>
      <c r="AB184" s="2"/>
    </row>
    <row r="185" spans="1:28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U185" s="2"/>
      <c r="V185" s="2"/>
      <c r="W185" s="2"/>
      <c r="X185" s="2"/>
      <c r="Y185" s="2"/>
      <c r="Z185" s="2"/>
      <c r="AA185" s="2"/>
      <c r="AB185" s="2"/>
    </row>
    <row r="186" spans="1:28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U186" s="2"/>
      <c r="V186" s="2"/>
      <c r="W186" s="2"/>
      <c r="X186" s="2"/>
      <c r="Y186" s="2"/>
      <c r="Z186" s="2"/>
      <c r="AA186" s="2"/>
      <c r="AB186" s="2"/>
    </row>
    <row r="187" spans="1:28" ht="1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U187" s="2"/>
      <c r="V187" s="2"/>
      <c r="W187" s="2"/>
      <c r="X187" s="2"/>
      <c r="Y187" s="2"/>
      <c r="Z187" s="2"/>
      <c r="AA187" s="2"/>
      <c r="AB187" s="2"/>
    </row>
    <row r="188" spans="1:28" ht="1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U188" s="2"/>
      <c r="V188" s="2"/>
      <c r="W188" s="2"/>
      <c r="X188" s="2"/>
      <c r="Y188" s="2"/>
      <c r="Z188" s="2"/>
      <c r="AA188" s="2"/>
      <c r="AB188" s="2"/>
    </row>
    <row r="189" spans="1:28" ht="1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U189" s="2"/>
      <c r="V189" s="2"/>
      <c r="W189" s="2"/>
      <c r="X189" s="2"/>
      <c r="Y189" s="2"/>
      <c r="Z189" s="2"/>
      <c r="AA189" s="2"/>
      <c r="AB189" s="2"/>
    </row>
    <row r="190" spans="1:28" ht="1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U190" s="2"/>
      <c r="V190" s="2"/>
      <c r="W190" s="2"/>
      <c r="X190" s="2"/>
      <c r="Y190" s="2"/>
      <c r="Z190" s="2"/>
      <c r="AA190" s="2"/>
      <c r="AB190" s="2"/>
    </row>
    <row r="191" spans="1:28" ht="1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U191" s="2"/>
      <c r="V191" s="2"/>
      <c r="W191" s="2"/>
      <c r="X191" s="2"/>
      <c r="Y191" s="2"/>
      <c r="Z191" s="2"/>
      <c r="AA191" s="2"/>
      <c r="AB191" s="2"/>
    </row>
    <row r="192" spans="1:28" ht="1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U192" s="2"/>
      <c r="V192" s="2"/>
      <c r="W192" s="2"/>
      <c r="X192" s="2"/>
      <c r="Y192" s="2"/>
      <c r="Z192" s="2"/>
      <c r="AA192" s="2"/>
      <c r="AB192" s="2"/>
    </row>
    <row r="193" spans="1:28" ht="1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U193" s="2"/>
      <c r="V193" s="2"/>
      <c r="W193" s="2"/>
      <c r="X193" s="2"/>
      <c r="Y193" s="2"/>
      <c r="Z193" s="2"/>
      <c r="AA193" s="2"/>
      <c r="AB193" s="2"/>
    </row>
    <row r="194" spans="1:28" ht="1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U194" s="2"/>
      <c r="V194" s="2"/>
      <c r="W194" s="2"/>
      <c r="X194" s="2"/>
      <c r="Y194" s="2"/>
      <c r="Z194" s="2"/>
      <c r="AA194" s="2"/>
      <c r="AB194" s="2"/>
    </row>
    <row r="195" spans="1:28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U195" s="2"/>
      <c r="V195" s="2"/>
      <c r="W195" s="2"/>
      <c r="X195" s="2"/>
      <c r="Y195" s="2"/>
      <c r="Z195" s="2"/>
      <c r="AA195" s="2"/>
      <c r="AB195" s="2"/>
    </row>
    <row r="196" spans="1:28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U196" s="2"/>
      <c r="V196" s="2"/>
      <c r="W196" s="2"/>
      <c r="X196" s="2"/>
      <c r="Y196" s="2"/>
      <c r="Z196" s="2"/>
      <c r="AA196" s="2"/>
      <c r="AB196" s="2"/>
    </row>
    <row r="197" spans="1:28" ht="1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U197" s="2"/>
      <c r="V197" s="2"/>
      <c r="W197" s="2"/>
      <c r="X197" s="2"/>
      <c r="Y197" s="2"/>
      <c r="Z197" s="2"/>
      <c r="AA197" s="2"/>
      <c r="AB197" s="2"/>
    </row>
    <row r="198" spans="1:28" ht="1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U198" s="2"/>
      <c r="V198" s="2"/>
      <c r="W198" s="2"/>
      <c r="X198" s="2"/>
      <c r="Y198" s="2"/>
      <c r="Z198" s="2"/>
      <c r="AA198" s="2"/>
      <c r="AB198" s="2"/>
    </row>
    <row r="199" spans="1:28" ht="1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U199" s="2"/>
      <c r="V199" s="2"/>
      <c r="W199" s="2"/>
      <c r="X199" s="2"/>
      <c r="Y199" s="2"/>
      <c r="Z199" s="2"/>
      <c r="AA199" s="2"/>
      <c r="AB199" s="2"/>
    </row>
    <row r="200" spans="1:28" ht="1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U200" s="2"/>
      <c r="V200" s="2"/>
      <c r="W200" s="2"/>
      <c r="X200" s="2"/>
      <c r="Y200" s="2"/>
      <c r="Z200" s="2"/>
      <c r="AA200" s="2"/>
      <c r="AB200" s="2"/>
    </row>
    <row r="201" spans="1:28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U201" s="2"/>
      <c r="V201" s="2"/>
      <c r="W201" s="2"/>
      <c r="X201" s="2"/>
      <c r="Y201" s="2"/>
      <c r="Z201" s="2"/>
      <c r="AA201" s="2"/>
      <c r="AB201" s="2"/>
    </row>
    <row r="202" spans="1:28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U202" s="2"/>
      <c r="V202" s="2"/>
      <c r="W202" s="2"/>
      <c r="X202" s="2"/>
      <c r="Y202" s="2"/>
      <c r="Z202" s="2"/>
      <c r="AA202" s="2"/>
      <c r="AB202" s="2"/>
    </row>
    <row r="203" spans="1:28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U203" s="2"/>
      <c r="V203" s="2"/>
      <c r="W203" s="2"/>
      <c r="X203" s="2"/>
      <c r="Y203" s="2"/>
      <c r="Z203" s="2"/>
      <c r="AA203" s="2"/>
      <c r="AB203" s="2"/>
    </row>
    <row r="204" spans="1:28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U204" s="2"/>
      <c r="V204" s="2"/>
      <c r="W204" s="2"/>
      <c r="X204" s="2"/>
      <c r="Y204" s="2"/>
      <c r="Z204" s="2"/>
      <c r="AA204" s="2"/>
      <c r="AB204" s="2"/>
    </row>
    <row r="205" spans="1:28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U205" s="2"/>
      <c r="V205" s="2"/>
      <c r="W205" s="2"/>
      <c r="X205" s="2"/>
      <c r="Y205" s="2"/>
      <c r="Z205" s="2"/>
      <c r="AA205" s="2"/>
      <c r="AB205" s="2"/>
    </row>
    <row r="206" spans="1:28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U206" s="2"/>
      <c r="V206" s="2"/>
      <c r="W206" s="2"/>
      <c r="X206" s="2"/>
      <c r="Y206" s="2"/>
      <c r="Z206" s="2"/>
      <c r="AA206" s="2"/>
      <c r="AB206" s="2"/>
    </row>
    <row r="207" spans="1:28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U207" s="2"/>
      <c r="V207" s="2"/>
      <c r="W207" s="2"/>
      <c r="X207" s="2"/>
      <c r="Y207" s="2"/>
      <c r="Z207" s="2"/>
      <c r="AA207" s="2"/>
      <c r="AB207" s="2"/>
    </row>
    <row r="208" spans="1:28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U208" s="2"/>
      <c r="V208" s="2"/>
      <c r="W208" s="2"/>
      <c r="X208" s="2"/>
      <c r="Y208" s="2"/>
      <c r="Z208" s="2"/>
      <c r="AA208" s="2"/>
      <c r="AB208" s="2"/>
    </row>
    <row r="209" spans="1:28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U209" s="2"/>
      <c r="V209" s="2"/>
      <c r="W209" s="2"/>
      <c r="X209" s="2"/>
      <c r="Y209" s="2"/>
      <c r="Z209" s="2"/>
      <c r="AA209" s="2"/>
      <c r="AB209" s="2"/>
    </row>
    <row r="210" spans="1:28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U210" s="2"/>
      <c r="V210" s="2"/>
      <c r="W210" s="2"/>
      <c r="X210" s="2"/>
      <c r="Y210" s="2"/>
      <c r="Z210" s="2"/>
      <c r="AA210" s="2"/>
      <c r="AB210" s="2"/>
    </row>
    <row r="211" spans="1:28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U211" s="2"/>
      <c r="V211" s="2"/>
      <c r="W211" s="2"/>
      <c r="X211" s="2"/>
      <c r="Y211" s="2"/>
      <c r="Z211" s="2"/>
      <c r="AA211" s="2"/>
      <c r="AB211" s="2"/>
    </row>
    <row r="212" spans="1:28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U212" s="2"/>
      <c r="V212" s="2"/>
      <c r="W212" s="2"/>
      <c r="X212" s="2"/>
      <c r="Y212" s="2"/>
      <c r="Z212" s="2"/>
      <c r="AA212" s="2"/>
      <c r="AB212" s="2"/>
    </row>
    <row r="213" spans="1:28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U213" s="2"/>
      <c r="V213" s="2"/>
      <c r="W213" s="2"/>
      <c r="X213" s="2"/>
      <c r="Y213" s="2"/>
      <c r="Z213" s="2"/>
      <c r="AA213" s="2"/>
      <c r="AB213" s="2"/>
    </row>
    <row r="214" spans="1:28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U214" s="2"/>
      <c r="V214" s="2"/>
      <c r="W214" s="2"/>
      <c r="X214" s="2"/>
      <c r="Y214" s="2"/>
      <c r="Z214" s="2"/>
      <c r="AA214" s="2"/>
      <c r="AB214" s="2"/>
    </row>
    <row r="215" spans="1:28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U215" s="2"/>
      <c r="V215" s="2"/>
      <c r="W215" s="2"/>
      <c r="X215" s="2"/>
      <c r="Y215" s="2"/>
      <c r="Z215" s="2"/>
      <c r="AA215" s="2"/>
      <c r="AB215" s="2"/>
    </row>
    <row r="216" spans="1:28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U216" s="2"/>
      <c r="V216" s="2"/>
      <c r="W216" s="2"/>
      <c r="X216" s="2"/>
      <c r="Y216" s="2"/>
      <c r="Z216" s="2"/>
      <c r="AA216" s="2"/>
      <c r="AB216" s="2"/>
    </row>
    <row r="217" spans="1:28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U217" s="2"/>
      <c r="V217" s="2"/>
      <c r="W217" s="2"/>
      <c r="X217" s="2"/>
      <c r="Y217" s="2"/>
      <c r="Z217" s="2"/>
      <c r="AA217" s="2"/>
      <c r="AB217" s="2"/>
    </row>
    <row r="218" spans="1:28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U218" s="2"/>
      <c r="V218" s="2"/>
      <c r="W218" s="2"/>
      <c r="X218" s="2"/>
      <c r="Y218" s="2"/>
      <c r="Z218" s="2"/>
      <c r="AA218" s="2"/>
      <c r="AB218" s="2"/>
    </row>
    <row r="219" spans="1:28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U219" s="2"/>
      <c r="V219" s="2"/>
      <c r="W219" s="2"/>
      <c r="X219" s="2"/>
      <c r="Y219" s="2"/>
      <c r="Z219" s="2"/>
      <c r="AA219" s="2"/>
      <c r="AB219" s="2"/>
    </row>
    <row r="220" spans="1:28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U220" s="2"/>
      <c r="V220" s="2"/>
      <c r="W220" s="2"/>
      <c r="X220" s="2"/>
      <c r="Y220" s="2"/>
      <c r="Z220" s="2"/>
      <c r="AA220" s="2"/>
      <c r="AB220" s="2"/>
    </row>
    <row r="221" spans="1:28" ht="1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U221" s="2"/>
      <c r="V221" s="2"/>
      <c r="W221" s="2"/>
      <c r="X221" s="2"/>
      <c r="Y221" s="2"/>
      <c r="Z221" s="2"/>
      <c r="AA221" s="2"/>
      <c r="AB221" s="2"/>
    </row>
    <row r="222" spans="1:28" ht="1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U222" s="2"/>
      <c r="V222" s="2"/>
      <c r="W222" s="2"/>
      <c r="X222" s="2"/>
      <c r="Y222" s="2"/>
      <c r="Z222" s="2"/>
      <c r="AA222" s="2"/>
      <c r="AB222" s="2"/>
    </row>
    <row r="223" spans="1:28" ht="1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U223" s="2"/>
      <c r="V223" s="2"/>
      <c r="W223" s="2"/>
      <c r="X223" s="2"/>
      <c r="Y223" s="2"/>
      <c r="Z223" s="2"/>
      <c r="AA223" s="2"/>
      <c r="AB223" s="2"/>
    </row>
    <row r="224" spans="1:28" ht="1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U224" s="2"/>
      <c r="V224" s="2"/>
      <c r="W224" s="2"/>
      <c r="X224" s="2"/>
      <c r="Y224" s="2"/>
      <c r="Z224" s="2"/>
      <c r="AA224" s="2"/>
      <c r="AB224" s="2"/>
    </row>
    <row r="225" spans="1:28" ht="1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U225" s="2"/>
      <c r="V225" s="2"/>
      <c r="W225" s="2"/>
      <c r="X225" s="2"/>
      <c r="Y225" s="2"/>
      <c r="Z225" s="2"/>
      <c r="AA225" s="2"/>
      <c r="AB225" s="2"/>
    </row>
    <row r="226" spans="1:28" ht="1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U226" s="2"/>
      <c r="V226" s="2"/>
      <c r="W226" s="2"/>
      <c r="X226" s="2"/>
      <c r="Y226" s="2"/>
      <c r="Z226" s="2"/>
      <c r="AA226" s="2"/>
      <c r="AB226" s="2"/>
    </row>
    <row r="227" spans="1:28" ht="1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U227" s="2"/>
      <c r="V227" s="2"/>
      <c r="W227" s="2"/>
      <c r="X227" s="2"/>
      <c r="Y227" s="2"/>
      <c r="Z227" s="2"/>
      <c r="AA227" s="2"/>
      <c r="AB227" s="2"/>
    </row>
    <row r="228" spans="1:28" ht="1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U228" s="2"/>
      <c r="V228" s="2"/>
      <c r="W228" s="2"/>
      <c r="X228" s="2"/>
      <c r="Y228" s="2"/>
      <c r="Z228" s="2"/>
      <c r="AA228" s="2"/>
      <c r="AB228" s="2"/>
    </row>
    <row r="229" spans="1:28" ht="1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U229" s="2"/>
      <c r="V229" s="2"/>
      <c r="W229" s="2"/>
      <c r="X229" s="2"/>
      <c r="Y229" s="2"/>
      <c r="Z229" s="2"/>
      <c r="AA229" s="2"/>
      <c r="AB229" s="2"/>
    </row>
    <row r="230" spans="1:28" ht="1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U230" s="2"/>
      <c r="V230" s="2"/>
      <c r="W230" s="2"/>
      <c r="X230" s="2"/>
      <c r="Y230" s="2"/>
      <c r="Z230" s="2"/>
      <c r="AA230" s="2"/>
      <c r="AB230" s="2"/>
    </row>
    <row r="231" spans="1:28" ht="1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U231" s="2"/>
      <c r="V231" s="2"/>
      <c r="W231" s="2"/>
      <c r="X231" s="2"/>
      <c r="Y231" s="2"/>
      <c r="Z231" s="2"/>
      <c r="AA231" s="2"/>
      <c r="AB231" s="2"/>
    </row>
    <row r="232" spans="1:28" ht="1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U232" s="2"/>
      <c r="V232" s="2"/>
      <c r="W232" s="2"/>
      <c r="X232" s="2"/>
      <c r="Y232" s="2"/>
      <c r="Z232" s="2"/>
      <c r="AA232" s="2"/>
      <c r="AB232" s="2"/>
    </row>
    <row r="233" spans="1:28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U233" s="2"/>
      <c r="V233" s="2"/>
      <c r="W233" s="2"/>
      <c r="X233" s="2"/>
      <c r="Y233" s="2"/>
      <c r="Z233" s="2"/>
      <c r="AA233" s="2"/>
      <c r="AB233" s="2"/>
    </row>
    <row r="234" spans="1:28" ht="1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U234" s="2"/>
      <c r="V234" s="2"/>
      <c r="W234" s="2"/>
      <c r="X234" s="2"/>
      <c r="Y234" s="2"/>
      <c r="Z234" s="2"/>
      <c r="AA234" s="2"/>
      <c r="AB234" s="2"/>
    </row>
    <row r="235" spans="1:28" ht="1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U235" s="2"/>
      <c r="V235" s="2"/>
      <c r="W235" s="2"/>
      <c r="X235" s="2"/>
      <c r="Y235" s="2"/>
      <c r="Z235" s="2"/>
      <c r="AA235" s="2"/>
      <c r="AB235" s="2"/>
    </row>
    <row r="236" spans="1:28" ht="1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U236" s="2"/>
      <c r="V236" s="2"/>
      <c r="W236" s="2"/>
      <c r="X236" s="2"/>
      <c r="Y236" s="2"/>
      <c r="Z236" s="2"/>
      <c r="AA236" s="2"/>
      <c r="AB236" s="2"/>
    </row>
    <row r="237" spans="1:28" ht="1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U237" s="2"/>
      <c r="V237" s="2"/>
      <c r="W237" s="2"/>
      <c r="X237" s="2"/>
      <c r="Y237" s="2"/>
      <c r="Z237" s="2"/>
      <c r="AA237" s="2"/>
      <c r="AB237" s="2"/>
    </row>
    <row r="238" spans="1:28" ht="1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U238" s="2"/>
      <c r="V238" s="2"/>
      <c r="W238" s="2"/>
      <c r="X238" s="2"/>
      <c r="Y238" s="2"/>
      <c r="Z238" s="2"/>
      <c r="AA238" s="2"/>
      <c r="AB238" s="2"/>
    </row>
    <row r="239" spans="1:28" ht="1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U239" s="2"/>
      <c r="V239" s="2"/>
      <c r="W239" s="2"/>
      <c r="X239" s="2"/>
      <c r="Y239" s="2"/>
      <c r="Z239" s="2"/>
      <c r="AA239" s="2"/>
      <c r="AB239" s="2"/>
    </row>
    <row r="240" spans="1:28" ht="1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U240" s="2"/>
      <c r="V240" s="2"/>
      <c r="W240" s="2"/>
      <c r="X240" s="2"/>
      <c r="Y240" s="2"/>
      <c r="Z240" s="2"/>
      <c r="AA240" s="2"/>
      <c r="AB240" s="2"/>
    </row>
    <row r="241" spans="1:28" ht="1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U241" s="2"/>
      <c r="V241" s="2"/>
      <c r="W241" s="2"/>
      <c r="X241" s="2"/>
      <c r="Y241" s="2"/>
      <c r="Z241" s="2"/>
      <c r="AA241" s="2"/>
      <c r="AB241" s="2"/>
    </row>
    <row r="242" spans="1:28" ht="1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U242" s="2"/>
      <c r="V242" s="2"/>
      <c r="W242" s="2"/>
      <c r="X242" s="2"/>
      <c r="Y242" s="2"/>
      <c r="Z242" s="2"/>
      <c r="AA242" s="2"/>
      <c r="AB242" s="2"/>
    </row>
    <row r="243" spans="1:28" ht="1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U243" s="2"/>
      <c r="V243" s="2"/>
      <c r="W243" s="2"/>
      <c r="X243" s="2"/>
      <c r="Y243" s="2"/>
      <c r="Z243" s="2"/>
      <c r="AA243" s="2"/>
      <c r="AB243" s="2"/>
    </row>
    <row r="244" spans="1:28" ht="1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U244" s="2"/>
      <c r="V244" s="2"/>
      <c r="W244" s="2"/>
      <c r="X244" s="2"/>
      <c r="Y244" s="2"/>
      <c r="Z244" s="2"/>
      <c r="AA244" s="2"/>
      <c r="AB244" s="2"/>
    </row>
    <row r="245" spans="1:28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U245" s="2"/>
      <c r="V245" s="2"/>
      <c r="W245" s="2"/>
      <c r="X245" s="2"/>
      <c r="Y245" s="2"/>
      <c r="Z245" s="2"/>
      <c r="AA245" s="2"/>
      <c r="AB245" s="2"/>
    </row>
    <row r="246" spans="1:28" ht="1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U246" s="2"/>
      <c r="V246" s="2"/>
      <c r="W246" s="2"/>
      <c r="X246" s="2"/>
      <c r="Y246" s="2"/>
      <c r="Z246" s="2"/>
      <c r="AA246" s="2"/>
      <c r="AB246" s="2"/>
    </row>
    <row r="247" spans="1:28" ht="1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U247" s="2"/>
      <c r="V247" s="2"/>
      <c r="W247" s="2"/>
      <c r="X247" s="2"/>
      <c r="Y247" s="2"/>
      <c r="Z247" s="2"/>
      <c r="AA247" s="2"/>
      <c r="AB247" s="2"/>
    </row>
    <row r="248" spans="1:28" ht="1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U248" s="2"/>
      <c r="V248" s="2"/>
      <c r="W248" s="2"/>
      <c r="X248" s="2"/>
      <c r="Y248" s="2"/>
      <c r="Z248" s="2"/>
      <c r="AA248" s="2"/>
      <c r="AB248" s="2"/>
    </row>
    <row r="249" spans="1:28" ht="1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U249" s="2"/>
      <c r="V249" s="2"/>
      <c r="W249" s="2"/>
      <c r="X249" s="2"/>
      <c r="Y249" s="2"/>
      <c r="Z249" s="2"/>
      <c r="AA249" s="2"/>
      <c r="AB249" s="2"/>
    </row>
    <row r="250" spans="1:28" ht="1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U250" s="2"/>
      <c r="V250" s="2"/>
      <c r="W250" s="2"/>
      <c r="X250" s="2"/>
      <c r="Y250" s="2"/>
      <c r="Z250" s="2"/>
      <c r="AA250" s="2"/>
      <c r="AB250" s="2"/>
    </row>
    <row r="251" spans="1:28" ht="1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U251" s="2"/>
      <c r="V251" s="2"/>
      <c r="W251" s="2"/>
      <c r="X251" s="2"/>
      <c r="Y251" s="2"/>
      <c r="Z251" s="2"/>
      <c r="AA251" s="2"/>
      <c r="AB251" s="2"/>
    </row>
    <row r="252" spans="1:28" ht="1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U252" s="2"/>
      <c r="V252" s="2"/>
      <c r="W252" s="2"/>
      <c r="X252" s="2"/>
      <c r="Y252" s="2"/>
      <c r="Z252" s="2"/>
      <c r="AA252" s="2"/>
      <c r="AB252" s="2"/>
    </row>
    <row r="253" spans="1:28" ht="1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U253" s="2"/>
      <c r="V253" s="2"/>
      <c r="W253" s="2"/>
      <c r="X253" s="2"/>
      <c r="Y253" s="2"/>
      <c r="Z253" s="2"/>
      <c r="AA253" s="2"/>
      <c r="AB253" s="2"/>
    </row>
    <row r="254" spans="1:28" ht="1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U254" s="2"/>
      <c r="V254" s="2"/>
      <c r="W254" s="2"/>
      <c r="X254" s="2"/>
      <c r="Y254" s="2"/>
      <c r="Z254" s="2"/>
      <c r="AA254" s="2"/>
      <c r="AB254" s="2"/>
    </row>
    <row r="255" spans="1:28" ht="1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U255" s="2"/>
      <c r="V255" s="2"/>
      <c r="W255" s="2"/>
      <c r="X255" s="2"/>
      <c r="Y255" s="2"/>
      <c r="Z255" s="2"/>
      <c r="AA255" s="2"/>
      <c r="AB255" s="2"/>
    </row>
    <row r="256" spans="1:28" ht="1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U256" s="2"/>
      <c r="V256" s="2"/>
      <c r="W256" s="2"/>
      <c r="X256" s="2"/>
      <c r="Y256" s="2"/>
      <c r="Z256" s="2"/>
      <c r="AA256" s="2"/>
      <c r="AB256" s="2"/>
    </row>
    <row r="257" spans="1:28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U257" s="2"/>
      <c r="V257" s="2"/>
      <c r="W257" s="2"/>
      <c r="X257" s="2"/>
      <c r="Y257" s="2"/>
      <c r="Z257" s="2"/>
      <c r="AA257" s="2"/>
      <c r="AB257" s="2"/>
    </row>
    <row r="258" spans="1:28" ht="1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U258" s="2"/>
      <c r="V258" s="2"/>
      <c r="W258" s="2"/>
      <c r="X258" s="2"/>
      <c r="Y258" s="2"/>
      <c r="Z258" s="2"/>
      <c r="AA258" s="2"/>
      <c r="AB258" s="2"/>
    </row>
    <row r="259" spans="1:28" ht="1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U259" s="2"/>
      <c r="V259" s="2"/>
      <c r="W259" s="2"/>
      <c r="X259" s="2"/>
      <c r="Y259" s="2"/>
      <c r="Z259" s="2"/>
      <c r="AA259" s="2"/>
      <c r="AB259" s="2"/>
    </row>
    <row r="260" spans="1:28" ht="1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U260" s="2"/>
      <c r="V260" s="2"/>
      <c r="W260" s="2"/>
      <c r="X260" s="2"/>
      <c r="Y260" s="2"/>
      <c r="Z260" s="2"/>
      <c r="AA260" s="2"/>
      <c r="AB260" s="2"/>
    </row>
    <row r="261" spans="1:28" ht="1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U261" s="2"/>
      <c r="V261" s="2"/>
      <c r="W261" s="2"/>
      <c r="X261" s="2"/>
      <c r="Y261" s="2"/>
      <c r="Z261" s="2"/>
      <c r="AA261" s="2"/>
      <c r="AB261" s="2"/>
    </row>
    <row r="262" spans="1:28" ht="1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U262" s="2"/>
      <c r="V262" s="2"/>
      <c r="W262" s="2"/>
      <c r="X262" s="2"/>
      <c r="Y262" s="2"/>
      <c r="Z262" s="2"/>
      <c r="AA262" s="2"/>
      <c r="AB262" s="2"/>
    </row>
    <row r="263" spans="1:28" ht="1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U263" s="2"/>
      <c r="V263" s="2"/>
      <c r="W263" s="2"/>
      <c r="X263" s="2"/>
      <c r="Y263" s="2"/>
      <c r="Z263" s="2"/>
      <c r="AA263" s="2"/>
      <c r="AB263" s="2"/>
    </row>
    <row r="264" spans="1:28" ht="1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U264" s="2"/>
      <c r="V264" s="2"/>
      <c r="W264" s="2"/>
      <c r="X264" s="2"/>
      <c r="Y264" s="2"/>
      <c r="Z264" s="2"/>
      <c r="AA264" s="2"/>
      <c r="AB264" s="2"/>
    </row>
    <row r="265" spans="1:28" ht="1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U265" s="2"/>
      <c r="V265" s="2"/>
      <c r="W265" s="2"/>
      <c r="X265" s="2"/>
      <c r="Y265" s="2"/>
      <c r="Z265" s="2"/>
      <c r="AA265" s="2"/>
      <c r="AB265" s="2"/>
    </row>
    <row r="266" spans="1:28" ht="1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U266" s="2"/>
      <c r="V266" s="2"/>
      <c r="W266" s="2"/>
      <c r="X266" s="2"/>
      <c r="Y266" s="2"/>
      <c r="Z266" s="2"/>
      <c r="AA266" s="2"/>
      <c r="AB266" s="2"/>
    </row>
    <row r="267" spans="1:28" ht="1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U267" s="2"/>
      <c r="V267" s="2"/>
      <c r="W267" s="2"/>
      <c r="X267" s="2"/>
      <c r="Y267" s="2"/>
      <c r="Z267" s="2"/>
      <c r="AA267" s="2"/>
      <c r="AB267" s="2"/>
    </row>
    <row r="268" spans="1:28" ht="1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U268" s="2"/>
      <c r="V268" s="2"/>
      <c r="W268" s="2"/>
      <c r="X268" s="2"/>
      <c r="Y268" s="2"/>
      <c r="Z268" s="2"/>
      <c r="AA268" s="2"/>
      <c r="AB268" s="2"/>
    </row>
    <row r="269" spans="1:28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U269" s="2"/>
      <c r="V269" s="2"/>
      <c r="W269" s="2"/>
      <c r="X269" s="2"/>
      <c r="Y269" s="2"/>
      <c r="Z269" s="2"/>
      <c r="AA269" s="2"/>
      <c r="AB269" s="2"/>
    </row>
    <row r="270" spans="1:28" ht="1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U270" s="2"/>
      <c r="V270" s="2"/>
      <c r="W270" s="2"/>
      <c r="X270" s="2"/>
      <c r="Y270" s="2"/>
      <c r="Z270" s="2"/>
      <c r="AA270" s="2"/>
      <c r="AB270" s="2"/>
    </row>
    <row r="271" spans="1:28" ht="1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U271" s="2"/>
      <c r="V271" s="2"/>
      <c r="W271" s="2"/>
      <c r="X271" s="2"/>
      <c r="Y271" s="2"/>
      <c r="Z271" s="2"/>
      <c r="AA271" s="2"/>
      <c r="AB271" s="2"/>
    </row>
    <row r="272" spans="1:28" ht="1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U272" s="2"/>
      <c r="V272" s="2"/>
      <c r="W272" s="2"/>
      <c r="X272" s="2"/>
      <c r="Y272" s="2"/>
      <c r="Z272" s="2"/>
      <c r="AA272" s="2"/>
      <c r="AB272" s="2"/>
    </row>
    <row r="273" spans="1:28" ht="1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U273" s="2"/>
      <c r="V273" s="2"/>
      <c r="W273" s="2"/>
      <c r="X273" s="2"/>
      <c r="Y273" s="2"/>
      <c r="Z273" s="2"/>
      <c r="AA273" s="2"/>
      <c r="AB273" s="2"/>
    </row>
    <row r="274" spans="1:28" ht="1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U274" s="2"/>
      <c r="V274" s="2"/>
      <c r="W274" s="2"/>
      <c r="X274" s="2"/>
      <c r="Y274" s="2"/>
      <c r="Z274" s="2"/>
      <c r="AA274" s="2"/>
      <c r="AB274" s="2"/>
    </row>
    <row r="275" spans="1:28" ht="1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U275" s="2"/>
      <c r="V275" s="2"/>
      <c r="W275" s="2"/>
      <c r="X275" s="2"/>
      <c r="Y275" s="2"/>
      <c r="Z275" s="2"/>
      <c r="AA275" s="2"/>
      <c r="AB275" s="2"/>
    </row>
    <row r="276" spans="1:28" ht="1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U276" s="2"/>
      <c r="V276" s="2"/>
      <c r="W276" s="2"/>
      <c r="X276" s="2"/>
      <c r="Y276" s="2"/>
      <c r="Z276" s="2"/>
      <c r="AA276" s="2"/>
      <c r="AB276" s="2"/>
    </row>
    <row r="277" spans="1:28" ht="1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U277" s="2"/>
      <c r="V277" s="2"/>
      <c r="W277" s="2"/>
      <c r="X277" s="2"/>
      <c r="Y277" s="2"/>
      <c r="Z277" s="2"/>
      <c r="AA277" s="2"/>
      <c r="AB277" s="2"/>
    </row>
    <row r="278" spans="1:28" ht="1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U278" s="2"/>
      <c r="V278" s="2"/>
      <c r="W278" s="2"/>
      <c r="X278" s="2"/>
      <c r="Y278" s="2"/>
      <c r="Z278" s="2"/>
      <c r="AA278" s="2"/>
      <c r="AB278" s="2"/>
    </row>
    <row r="279" spans="1:28" ht="1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U279" s="2"/>
      <c r="V279" s="2"/>
      <c r="W279" s="2"/>
      <c r="X279" s="2"/>
      <c r="Y279" s="2"/>
      <c r="Z279" s="2"/>
      <c r="AA279" s="2"/>
      <c r="AB279" s="2"/>
    </row>
    <row r="280" spans="1:28" ht="1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U280" s="2"/>
      <c r="V280" s="2"/>
      <c r="W280" s="2"/>
      <c r="X280" s="2"/>
      <c r="Y280" s="2"/>
      <c r="Z280" s="2"/>
      <c r="AA280" s="2"/>
      <c r="AB280" s="2"/>
    </row>
    <row r="281" spans="1:28" ht="1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U281" s="2"/>
      <c r="V281" s="2"/>
      <c r="W281" s="2"/>
      <c r="X281" s="2"/>
      <c r="Y281" s="2"/>
      <c r="Z281" s="2"/>
      <c r="AA281" s="2"/>
      <c r="AB281" s="2"/>
    </row>
    <row r="282" spans="1:28" ht="1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U282" s="2"/>
      <c r="V282" s="2"/>
      <c r="W282" s="2"/>
      <c r="X282" s="2"/>
      <c r="Y282" s="2"/>
      <c r="Z282" s="2"/>
      <c r="AA282" s="2"/>
      <c r="AB282" s="2"/>
    </row>
    <row r="283" spans="1:28" ht="1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U283" s="2"/>
      <c r="V283" s="2"/>
      <c r="W283" s="2"/>
      <c r="X283" s="2"/>
      <c r="Y283" s="2"/>
      <c r="Z283" s="2"/>
      <c r="AA283" s="2"/>
      <c r="AB283" s="2"/>
    </row>
    <row r="284" spans="1:28" ht="1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U284" s="2"/>
      <c r="V284" s="2"/>
      <c r="W284" s="2"/>
      <c r="X284" s="2"/>
      <c r="Y284" s="2"/>
      <c r="Z284" s="2"/>
      <c r="AA284" s="2"/>
      <c r="AB284" s="2"/>
    </row>
    <row r="285" spans="1:28" ht="1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U285" s="2"/>
      <c r="V285" s="2"/>
      <c r="W285" s="2"/>
      <c r="X285" s="2"/>
      <c r="Y285" s="2"/>
      <c r="Z285" s="2"/>
      <c r="AA285" s="2"/>
      <c r="AB285" s="2"/>
    </row>
    <row r="286" spans="1:28" ht="1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U286" s="2"/>
      <c r="V286" s="2"/>
      <c r="W286" s="2"/>
      <c r="X286" s="2"/>
      <c r="Y286" s="2"/>
      <c r="Z286" s="2"/>
      <c r="AA286" s="2"/>
      <c r="AB286" s="2"/>
    </row>
    <row r="287" spans="1:28" ht="1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U287" s="2"/>
      <c r="V287" s="2"/>
      <c r="W287" s="2"/>
      <c r="X287" s="2"/>
      <c r="Y287" s="2"/>
      <c r="Z287" s="2"/>
      <c r="AA287" s="2"/>
      <c r="AB287" s="2"/>
    </row>
    <row r="288" spans="1:28" ht="1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U288" s="2"/>
      <c r="V288" s="2"/>
      <c r="W288" s="2"/>
      <c r="X288" s="2"/>
      <c r="Y288" s="2"/>
      <c r="Z288" s="2"/>
      <c r="AA288" s="2"/>
      <c r="AB288" s="2"/>
    </row>
    <row r="289" spans="1:28" ht="1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U289" s="2"/>
      <c r="V289" s="2"/>
      <c r="W289" s="2"/>
      <c r="X289" s="2"/>
      <c r="Y289" s="2"/>
      <c r="Z289" s="2"/>
      <c r="AA289" s="2"/>
      <c r="AB289" s="2"/>
    </row>
    <row r="290" spans="1:28" ht="1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U290" s="2"/>
      <c r="V290" s="2"/>
      <c r="W290" s="2"/>
      <c r="X290" s="2"/>
      <c r="Y290" s="2"/>
      <c r="Z290" s="2"/>
      <c r="AA290" s="2"/>
      <c r="AB290" s="2"/>
    </row>
    <row r="291" spans="1:28" ht="1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U291" s="2"/>
      <c r="V291" s="2"/>
      <c r="W291" s="2"/>
      <c r="X291" s="2"/>
      <c r="Y291" s="2"/>
      <c r="Z291" s="2"/>
      <c r="AA291" s="2"/>
      <c r="AB291" s="2"/>
    </row>
    <row r="292" spans="1:28" ht="1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U292" s="2"/>
      <c r="V292" s="2"/>
      <c r="W292" s="2"/>
      <c r="X292" s="2"/>
      <c r="Y292" s="2"/>
      <c r="Z292" s="2"/>
      <c r="AA292" s="2"/>
      <c r="AB292" s="2"/>
    </row>
    <row r="293" spans="1:28" ht="1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U293" s="2"/>
      <c r="V293" s="2"/>
      <c r="W293" s="2"/>
      <c r="X293" s="2"/>
      <c r="Y293" s="2"/>
      <c r="Z293" s="2"/>
      <c r="AA293" s="2"/>
      <c r="AB293" s="2"/>
    </row>
    <row r="294" spans="1:28" ht="1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U294" s="2"/>
      <c r="V294" s="2"/>
      <c r="W294" s="2"/>
      <c r="X294" s="2"/>
      <c r="Y294" s="2"/>
      <c r="Z294" s="2"/>
      <c r="AA294" s="2"/>
      <c r="AB294" s="2"/>
    </row>
    <row r="295" spans="1:28" ht="1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U295" s="2"/>
      <c r="V295" s="2"/>
      <c r="W295" s="2"/>
      <c r="X295" s="2"/>
      <c r="Y295" s="2"/>
      <c r="Z295" s="2"/>
      <c r="AA295" s="2"/>
      <c r="AB295" s="2"/>
    </row>
    <row r="296" spans="1:28" ht="1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U296" s="2"/>
      <c r="V296" s="2"/>
      <c r="W296" s="2"/>
      <c r="X296" s="2"/>
      <c r="Y296" s="2"/>
      <c r="Z296" s="2"/>
      <c r="AA296" s="2"/>
      <c r="AB296" s="2"/>
    </row>
    <row r="297" spans="1:28" ht="1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U297" s="2"/>
      <c r="V297" s="2"/>
      <c r="W297" s="2"/>
      <c r="X297" s="2"/>
      <c r="Y297" s="2"/>
      <c r="Z297" s="2"/>
      <c r="AA297" s="2"/>
      <c r="AB297" s="2"/>
    </row>
    <row r="298" spans="1:28" ht="1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U298" s="2"/>
      <c r="V298" s="2"/>
      <c r="W298" s="2"/>
      <c r="X298" s="2"/>
      <c r="Y298" s="2"/>
      <c r="Z298" s="2"/>
      <c r="AA298" s="2"/>
      <c r="AB298" s="2"/>
    </row>
    <row r="299" spans="1:28" ht="1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U299" s="2"/>
      <c r="V299" s="2"/>
      <c r="W299" s="2"/>
      <c r="X299" s="2"/>
      <c r="Y299" s="2"/>
      <c r="Z299" s="2"/>
      <c r="AA299" s="2"/>
      <c r="AB299" s="2"/>
    </row>
    <row r="300" spans="1:28" ht="1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U300" s="2"/>
      <c r="V300" s="2"/>
      <c r="W300" s="2"/>
      <c r="X300" s="2"/>
      <c r="Y300" s="2"/>
      <c r="Z300" s="2"/>
      <c r="AA300" s="2"/>
      <c r="AB300" s="2"/>
    </row>
    <row r="301" spans="1:28" ht="1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U301" s="2"/>
      <c r="V301" s="2"/>
      <c r="W301" s="2"/>
      <c r="X301" s="2"/>
      <c r="Y301" s="2"/>
      <c r="Z301" s="2"/>
      <c r="AA301" s="2"/>
      <c r="AB301" s="2"/>
    </row>
    <row r="302" spans="1:28" ht="1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U302" s="2"/>
      <c r="V302" s="2"/>
      <c r="W302" s="2"/>
      <c r="X302" s="2"/>
      <c r="Y302" s="2"/>
      <c r="Z302" s="2"/>
      <c r="AA302" s="2"/>
      <c r="AB302" s="2"/>
    </row>
    <row r="303" spans="1:28" ht="1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U303" s="2"/>
      <c r="V303" s="2"/>
      <c r="W303" s="2"/>
      <c r="X303" s="2"/>
      <c r="Y303" s="2"/>
      <c r="Z303" s="2"/>
      <c r="AA303" s="2"/>
      <c r="AB303" s="2"/>
    </row>
    <row r="304" spans="1:28" ht="1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U304" s="2"/>
      <c r="V304" s="2"/>
      <c r="W304" s="2"/>
      <c r="X304" s="2"/>
      <c r="Y304" s="2"/>
      <c r="Z304" s="2"/>
      <c r="AA304" s="2"/>
      <c r="AB304" s="2"/>
    </row>
    <row r="305" spans="1:28" ht="1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U305" s="2"/>
      <c r="V305" s="2"/>
      <c r="W305" s="2"/>
      <c r="X305" s="2"/>
      <c r="Y305" s="2"/>
      <c r="Z305" s="2"/>
      <c r="AA305" s="2"/>
      <c r="AB305" s="2"/>
    </row>
    <row r="306" spans="1:28" ht="1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U306" s="2"/>
      <c r="V306" s="2"/>
      <c r="W306" s="2"/>
      <c r="X306" s="2"/>
      <c r="Y306" s="2"/>
      <c r="Z306" s="2"/>
      <c r="AA306" s="2"/>
      <c r="AB306" s="2"/>
    </row>
    <row r="307" spans="1:28" ht="1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U307" s="2"/>
      <c r="V307" s="2"/>
      <c r="W307" s="2"/>
      <c r="X307" s="2"/>
      <c r="Y307" s="2"/>
      <c r="Z307" s="2"/>
      <c r="AA307" s="2"/>
      <c r="AB307" s="2"/>
    </row>
    <row r="308" spans="1:28" ht="1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U308" s="2"/>
      <c r="V308" s="2"/>
      <c r="W308" s="2"/>
      <c r="X308" s="2"/>
      <c r="Y308" s="2"/>
      <c r="Z308" s="2"/>
      <c r="AA308" s="2"/>
      <c r="AB308" s="2"/>
    </row>
    <row r="309" spans="1:28" ht="1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U309" s="2"/>
      <c r="V309" s="2"/>
      <c r="W309" s="2"/>
      <c r="X309" s="2"/>
      <c r="Y309" s="2"/>
      <c r="Z309" s="2"/>
      <c r="AA309" s="2"/>
      <c r="AB309" s="2"/>
    </row>
    <row r="310" spans="1:28" ht="1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U310" s="2"/>
      <c r="V310" s="2"/>
      <c r="W310" s="2"/>
      <c r="X310" s="2"/>
      <c r="Y310" s="2"/>
      <c r="Z310" s="2"/>
      <c r="AA310" s="2"/>
      <c r="AB310" s="2"/>
    </row>
    <row r="311" spans="1:28" ht="1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U311" s="2"/>
      <c r="V311" s="2"/>
      <c r="W311" s="2"/>
      <c r="X311" s="2"/>
      <c r="Y311" s="2"/>
      <c r="Z311" s="2"/>
      <c r="AA311" s="2"/>
      <c r="AB311" s="2"/>
    </row>
    <row r="312" spans="1:28" ht="1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U312" s="2"/>
      <c r="V312" s="2"/>
      <c r="W312" s="2"/>
      <c r="X312" s="2"/>
      <c r="Y312" s="2"/>
      <c r="Z312" s="2"/>
      <c r="AA312" s="2"/>
      <c r="AB312" s="2"/>
    </row>
    <row r="313" spans="1:28" ht="1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U313" s="2"/>
      <c r="V313" s="2"/>
      <c r="W313" s="2"/>
      <c r="X313" s="2"/>
      <c r="Y313" s="2"/>
      <c r="Z313" s="2"/>
      <c r="AA313" s="2"/>
      <c r="AB313" s="2"/>
    </row>
    <row r="314" spans="1:28" ht="1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U314" s="2"/>
      <c r="V314" s="2"/>
      <c r="W314" s="2"/>
      <c r="X314" s="2"/>
      <c r="Y314" s="2"/>
      <c r="Z314" s="2"/>
      <c r="AA314" s="2"/>
      <c r="AB314" s="2"/>
    </row>
    <row r="315" spans="1:28" ht="1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U315" s="2"/>
      <c r="V315" s="2"/>
      <c r="W315" s="2"/>
      <c r="X315" s="2"/>
      <c r="Y315" s="2"/>
      <c r="Z315" s="2"/>
      <c r="AA315" s="2"/>
      <c r="AB315" s="2"/>
    </row>
    <row r="316" spans="1:28" ht="1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U316" s="2"/>
      <c r="V316" s="2"/>
      <c r="W316" s="2"/>
      <c r="X316" s="2"/>
      <c r="Y316" s="2"/>
      <c r="Z316" s="2"/>
      <c r="AA316" s="2"/>
      <c r="AB316" s="2"/>
    </row>
    <row r="317" spans="1:28" ht="1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U317" s="2"/>
      <c r="V317" s="2"/>
      <c r="W317" s="2"/>
      <c r="X317" s="2"/>
      <c r="Y317" s="2"/>
      <c r="Z317" s="2"/>
      <c r="AA317" s="2"/>
      <c r="AB317" s="2"/>
    </row>
    <row r="318" spans="1:28" ht="1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U318" s="2"/>
      <c r="V318" s="2"/>
      <c r="W318" s="2"/>
      <c r="X318" s="2"/>
      <c r="Y318" s="2"/>
      <c r="Z318" s="2"/>
      <c r="AA318" s="2"/>
      <c r="AB318" s="2"/>
    </row>
    <row r="319" spans="1:28" ht="1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U319" s="2"/>
      <c r="V319" s="2"/>
      <c r="W319" s="2"/>
      <c r="X319" s="2"/>
      <c r="Y319" s="2"/>
      <c r="Z319" s="2"/>
      <c r="AA319" s="2"/>
      <c r="AB319" s="2"/>
    </row>
    <row r="320" spans="1:28" ht="1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U320" s="2"/>
      <c r="V320" s="2"/>
      <c r="W320" s="2"/>
      <c r="X320" s="2"/>
      <c r="Y320" s="2"/>
      <c r="Z320" s="2"/>
      <c r="AA320" s="2"/>
      <c r="AB320" s="2"/>
    </row>
    <row r="321" spans="1:28" ht="1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U321" s="2"/>
      <c r="V321" s="2"/>
      <c r="W321" s="2"/>
      <c r="X321" s="2"/>
      <c r="Y321" s="2"/>
      <c r="Z321" s="2"/>
      <c r="AA321" s="2"/>
      <c r="AB321" s="2"/>
    </row>
    <row r="322" spans="1:28" ht="1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U322" s="2"/>
      <c r="V322" s="2"/>
      <c r="W322" s="2"/>
      <c r="X322" s="2"/>
      <c r="Y322" s="2"/>
      <c r="Z322" s="2"/>
      <c r="AA322" s="2"/>
      <c r="AB322" s="2"/>
    </row>
    <row r="323" spans="1:28" ht="1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U323" s="2"/>
      <c r="V323" s="2"/>
      <c r="W323" s="2"/>
      <c r="X323" s="2"/>
      <c r="Y323" s="2"/>
      <c r="Z323" s="2"/>
      <c r="AA323" s="2"/>
      <c r="AB323" s="2"/>
    </row>
    <row r="324" spans="1:28" ht="1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U324" s="2"/>
      <c r="V324" s="2"/>
      <c r="W324" s="2"/>
      <c r="X324" s="2"/>
      <c r="Y324" s="2"/>
      <c r="Z324" s="2"/>
      <c r="AA324" s="2"/>
      <c r="AB324" s="2"/>
    </row>
    <row r="325" spans="1:28" ht="1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U325" s="2"/>
      <c r="V325" s="2"/>
      <c r="W325" s="2"/>
      <c r="X325" s="2"/>
      <c r="Y325" s="2"/>
      <c r="Z325" s="2"/>
      <c r="AA325" s="2"/>
      <c r="AB325" s="2"/>
    </row>
    <row r="326" spans="1:28" ht="1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U326" s="2"/>
      <c r="V326" s="2"/>
      <c r="W326" s="2"/>
      <c r="X326" s="2"/>
      <c r="Y326" s="2"/>
      <c r="Z326" s="2"/>
      <c r="AA326" s="2"/>
      <c r="AB326" s="2"/>
    </row>
    <row r="327" spans="1:28" ht="1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U327" s="2"/>
      <c r="V327" s="2"/>
      <c r="W327" s="2"/>
      <c r="X327" s="2"/>
      <c r="Y327" s="2"/>
      <c r="Z327" s="2"/>
      <c r="AA327" s="2"/>
      <c r="AB327" s="2"/>
    </row>
    <row r="328" spans="1:28" ht="1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U328" s="2"/>
      <c r="V328" s="2"/>
      <c r="W328" s="2"/>
      <c r="X328" s="2"/>
      <c r="Y328" s="2"/>
      <c r="Z328" s="2"/>
      <c r="AA328" s="2"/>
      <c r="AB328" s="2"/>
    </row>
    <row r="329" spans="1:28" ht="1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U329" s="2"/>
      <c r="V329" s="2"/>
      <c r="W329" s="2"/>
      <c r="X329" s="2"/>
      <c r="Y329" s="2"/>
      <c r="Z329" s="2"/>
      <c r="AA329" s="2"/>
      <c r="AB329" s="2"/>
    </row>
    <row r="330" spans="1:28" ht="1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U330" s="2"/>
      <c r="V330" s="2"/>
      <c r="W330" s="2"/>
      <c r="X330" s="2"/>
      <c r="Y330" s="2"/>
      <c r="Z330" s="2"/>
      <c r="AA330" s="2"/>
      <c r="AB330" s="2"/>
    </row>
    <row r="331" spans="1:28" ht="1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U331" s="2"/>
      <c r="V331" s="2"/>
      <c r="W331" s="2"/>
      <c r="X331" s="2"/>
      <c r="Y331" s="2"/>
      <c r="Z331" s="2"/>
      <c r="AA331" s="2"/>
      <c r="AB331" s="2"/>
    </row>
    <row r="332" spans="1:28" ht="1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U332" s="2"/>
      <c r="V332" s="2"/>
      <c r="W332" s="2"/>
      <c r="X332" s="2"/>
      <c r="Y332" s="2"/>
      <c r="Z332" s="2"/>
      <c r="AA332" s="2"/>
      <c r="AB332" s="2"/>
    </row>
    <row r="333" spans="1:28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U333" s="2"/>
      <c r="V333" s="2"/>
      <c r="W333" s="2"/>
      <c r="X333" s="2"/>
      <c r="Y333" s="2"/>
      <c r="Z333" s="2"/>
      <c r="AA333" s="2"/>
      <c r="AB333" s="2"/>
    </row>
    <row r="334" spans="1:28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U334" s="2"/>
      <c r="V334" s="2"/>
      <c r="W334" s="2"/>
      <c r="X334" s="2"/>
      <c r="Y334" s="2"/>
      <c r="Z334" s="2"/>
      <c r="AA334" s="2"/>
      <c r="AB334" s="2"/>
    </row>
    <row r="335" spans="1:28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U335" s="2"/>
      <c r="V335" s="2"/>
      <c r="W335" s="2"/>
      <c r="X335" s="2"/>
      <c r="Y335" s="2"/>
      <c r="Z335" s="2"/>
      <c r="AA335" s="2"/>
      <c r="AB335" s="2"/>
    </row>
    <row r="336" spans="1:28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U336" s="2"/>
      <c r="V336" s="2"/>
      <c r="W336" s="2"/>
      <c r="X336" s="2"/>
      <c r="Y336" s="2"/>
      <c r="Z336" s="2"/>
      <c r="AA336" s="2"/>
      <c r="AB336" s="2"/>
    </row>
    <row r="337" spans="1:28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U337" s="2"/>
      <c r="V337" s="2"/>
      <c r="W337" s="2"/>
      <c r="X337" s="2"/>
      <c r="Y337" s="2"/>
      <c r="Z337" s="2"/>
      <c r="AA337" s="2"/>
      <c r="AB337" s="2"/>
    </row>
    <row r="338" spans="1:28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U338" s="2"/>
      <c r="V338" s="2"/>
      <c r="W338" s="2"/>
      <c r="X338" s="2"/>
      <c r="Y338" s="2"/>
      <c r="Z338" s="2"/>
      <c r="AA338" s="2"/>
      <c r="AB338" s="2"/>
    </row>
    <row r="339" spans="1:28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U339" s="2"/>
      <c r="V339" s="2"/>
      <c r="W339" s="2"/>
      <c r="X339" s="2"/>
      <c r="Y339" s="2"/>
      <c r="Z339" s="2"/>
      <c r="AA339" s="2"/>
      <c r="AB339" s="2"/>
    </row>
    <row r="340" spans="1:28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U340" s="2"/>
      <c r="V340" s="2"/>
      <c r="W340" s="2"/>
      <c r="X340" s="2"/>
      <c r="Y340" s="2"/>
      <c r="Z340" s="2"/>
      <c r="AA340" s="2"/>
      <c r="AB340" s="2"/>
    </row>
    <row r="341" spans="1:28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U341" s="2"/>
      <c r="V341" s="2"/>
      <c r="W341" s="2"/>
      <c r="X341" s="2"/>
      <c r="Y341" s="2"/>
      <c r="Z341" s="2"/>
      <c r="AA341" s="2"/>
      <c r="AB341" s="2"/>
    </row>
    <row r="342" spans="1:28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U342" s="2"/>
      <c r="V342" s="2"/>
      <c r="W342" s="2"/>
      <c r="X342" s="2"/>
      <c r="Y342" s="2"/>
      <c r="Z342" s="2"/>
      <c r="AA342" s="2"/>
      <c r="AB342" s="2"/>
    </row>
    <row r="343" spans="1:28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U343" s="2"/>
      <c r="V343" s="2"/>
      <c r="W343" s="2"/>
      <c r="X343" s="2"/>
      <c r="Y343" s="2"/>
      <c r="Z343" s="2"/>
      <c r="AA343" s="2"/>
      <c r="AB343" s="2"/>
    </row>
    <row r="344" spans="1:28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U344" s="2"/>
      <c r="V344" s="2"/>
      <c r="W344" s="2"/>
      <c r="X344" s="2"/>
      <c r="Y344" s="2"/>
      <c r="Z344" s="2"/>
      <c r="AA344" s="2"/>
      <c r="AB344" s="2"/>
    </row>
    <row r="345" spans="1:28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U345" s="2"/>
      <c r="V345" s="2"/>
      <c r="W345" s="2"/>
      <c r="X345" s="2"/>
      <c r="Y345" s="2"/>
      <c r="Z345" s="2"/>
      <c r="AA345" s="2"/>
      <c r="AB345" s="2"/>
    </row>
    <row r="346" spans="1:28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U346" s="2"/>
      <c r="V346" s="2"/>
      <c r="W346" s="2"/>
      <c r="X346" s="2"/>
      <c r="Y346" s="2"/>
      <c r="Z346" s="2"/>
      <c r="AA346" s="2"/>
      <c r="AB346" s="2"/>
    </row>
    <row r="347" spans="1:28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U347" s="2"/>
      <c r="V347" s="2"/>
      <c r="W347" s="2"/>
      <c r="X347" s="2"/>
      <c r="Y347" s="2"/>
      <c r="Z347" s="2"/>
      <c r="AA347" s="2"/>
      <c r="AB347" s="2"/>
    </row>
    <row r="348" spans="1:28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U348" s="2"/>
      <c r="V348" s="2"/>
      <c r="W348" s="2"/>
      <c r="X348" s="2"/>
      <c r="Y348" s="2"/>
      <c r="Z348" s="2"/>
      <c r="AA348" s="2"/>
      <c r="AB348" s="2"/>
    </row>
    <row r="349" spans="1:28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U349" s="2"/>
      <c r="V349" s="2"/>
      <c r="W349" s="2"/>
      <c r="X349" s="2"/>
      <c r="Y349" s="2"/>
      <c r="Z349" s="2"/>
      <c r="AA349" s="2"/>
      <c r="AB349" s="2"/>
    </row>
    <row r="350" spans="1:28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U350" s="2"/>
      <c r="V350" s="2"/>
      <c r="W350" s="2"/>
      <c r="X350" s="2"/>
      <c r="Y350" s="2"/>
      <c r="Z350" s="2"/>
      <c r="AA350" s="2"/>
      <c r="AB350" s="2"/>
    </row>
    <row r="351" spans="1:28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U351" s="2"/>
      <c r="V351" s="2"/>
      <c r="W351" s="2"/>
      <c r="X351" s="2"/>
      <c r="Y351" s="2"/>
      <c r="Z351" s="2"/>
      <c r="AA351" s="2"/>
      <c r="AB351" s="2"/>
    </row>
    <row r="352" spans="1:28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U352" s="2"/>
      <c r="V352" s="2"/>
      <c r="W352" s="2"/>
      <c r="X352" s="2"/>
      <c r="Y352" s="2"/>
      <c r="Z352" s="2"/>
      <c r="AA352" s="2"/>
      <c r="AB352" s="2"/>
    </row>
    <row r="353" spans="1:28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U353" s="2"/>
      <c r="V353" s="2"/>
      <c r="W353" s="2"/>
      <c r="X353" s="2"/>
      <c r="Y353" s="2"/>
      <c r="Z353" s="2"/>
      <c r="AA353" s="2"/>
      <c r="AB353" s="2"/>
    </row>
    <row r="354" spans="1:28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U354" s="2"/>
      <c r="V354" s="2"/>
      <c r="W354" s="2"/>
      <c r="X354" s="2"/>
      <c r="Y354" s="2"/>
      <c r="Z354" s="2"/>
      <c r="AA354" s="2"/>
      <c r="AB354" s="2"/>
    </row>
    <row r="355" spans="1:28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U355" s="2"/>
      <c r="V355" s="2"/>
      <c r="W355" s="2"/>
      <c r="X355" s="2"/>
      <c r="Y355" s="2"/>
      <c r="Z355" s="2"/>
      <c r="AA355" s="2"/>
      <c r="AB355" s="2"/>
    </row>
    <row r="356" spans="1:28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U356" s="2"/>
      <c r="V356" s="2"/>
      <c r="W356" s="2"/>
      <c r="X356" s="2"/>
      <c r="Y356" s="2"/>
      <c r="Z356" s="2"/>
      <c r="AA356" s="2"/>
      <c r="AB356" s="2"/>
    </row>
    <row r="357" spans="1:28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U357" s="2"/>
      <c r="V357" s="2"/>
      <c r="W357" s="2"/>
      <c r="X357" s="2"/>
      <c r="Y357" s="2"/>
      <c r="Z357" s="2"/>
      <c r="AA357" s="2"/>
      <c r="AB357" s="2"/>
    </row>
    <row r="358" spans="1:28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U358" s="2"/>
      <c r="V358" s="2"/>
      <c r="W358" s="2"/>
      <c r="X358" s="2"/>
      <c r="Y358" s="2"/>
      <c r="Z358" s="2"/>
      <c r="AA358" s="2"/>
      <c r="AB358" s="2"/>
    </row>
    <row r="359" spans="1:28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U359" s="2"/>
      <c r="V359" s="2"/>
      <c r="W359" s="2"/>
      <c r="X359" s="2"/>
      <c r="Y359" s="2"/>
      <c r="Z359" s="2"/>
      <c r="AA359" s="2"/>
      <c r="AB359" s="2"/>
    </row>
    <row r="360" spans="1:28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U360" s="2"/>
      <c r="V360" s="2"/>
      <c r="W360" s="2"/>
      <c r="X360" s="2"/>
      <c r="Y360" s="2"/>
      <c r="Z360" s="2"/>
      <c r="AA360" s="2"/>
      <c r="AB360" s="2"/>
    </row>
    <row r="361" spans="1:28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U361" s="2"/>
      <c r="V361" s="2"/>
      <c r="W361" s="2"/>
      <c r="X361" s="2"/>
      <c r="Y361" s="2"/>
      <c r="Z361" s="2"/>
      <c r="AA361" s="2"/>
      <c r="AB361" s="2"/>
    </row>
    <row r="362" spans="1:28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U362" s="2"/>
      <c r="V362" s="2"/>
      <c r="W362" s="2"/>
      <c r="X362" s="2"/>
      <c r="Y362" s="2"/>
      <c r="Z362" s="2"/>
      <c r="AA362" s="2"/>
      <c r="AB362" s="2"/>
    </row>
    <row r="363" spans="1:28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U363" s="2"/>
      <c r="V363" s="2"/>
      <c r="W363" s="2"/>
      <c r="X363" s="2"/>
      <c r="Y363" s="2"/>
      <c r="Z363" s="2"/>
      <c r="AA363" s="2"/>
      <c r="AB363" s="2"/>
    </row>
    <row r="364" spans="1:28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U364" s="2"/>
      <c r="V364" s="2"/>
      <c r="W364" s="2"/>
      <c r="X364" s="2"/>
      <c r="Y364" s="2"/>
      <c r="Z364" s="2"/>
      <c r="AA364" s="2"/>
      <c r="AB364" s="2"/>
    </row>
    <row r="365" spans="1:28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U365" s="2"/>
      <c r="V365" s="2"/>
      <c r="W365" s="2"/>
      <c r="X365" s="2"/>
      <c r="Y365" s="2"/>
      <c r="Z365" s="2"/>
      <c r="AA365" s="2"/>
      <c r="AB365" s="2"/>
    </row>
    <row r="366" spans="1:28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U366" s="2"/>
      <c r="V366" s="2"/>
      <c r="W366" s="2"/>
      <c r="X366" s="2"/>
      <c r="Y366" s="2"/>
      <c r="Z366" s="2"/>
      <c r="AA366" s="2"/>
      <c r="AB366" s="2"/>
    </row>
    <row r="367" spans="1:28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U367" s="2"/>
      <c r="V367" s="2"/>
      <c r="W367" s="2"/>
      <c r="X367" s="2"/>
      <c r="Y367" s="2"/>
      <c r="Z367" s="2"/>
      <c r="AA367" s="2"/>
      <c r="AB367" s="2"/>
    </row>
    <row r="368" spans="1:28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U368" s="2"/>
      <c r="V368" s="2"/>
      <c r="W368" s="2"/>
      <c r="X368" s="2"/>
      <c r="Y368" s="2"/>
      <c r="Z368" s="2"/>
      <c r="AA368" s="2"/>
      <c r="AB368" s="2"/>
    </row>
    <row r="369" spans="1:28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U369" s="2"/>
      <c r="V369" s="2"/>
      <c r="W369" s="2"/>
      <c r="X369" s="2"/>
      <c r="Y369" s="2"/>
      <c r="Z369" s="2"/>
      <c r="AA369" s="2"/>
      <c r="AB369" s="2"/>
    </row>
    <row r="370" spans="1:28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U370" s="2"/>
      <c r="V370" s="2"/>
      <c r="W370" s="2"/>
      <c r="X370" s="2"/>
      <c r="Y370" s="2"/>
      <c r="Z370" s="2"/>
      <c r="AA370" s="2"/>
      <c r="AB370" s="2"/>
    </row>
    <row r="371" spans="1:28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U371" s="2"/>
      <c r="V371" s="2"/>
      <c r="W371" s="2"/>
      <c r="X371" s="2"/>
      <c r="Y371" s="2"/>
      <c r="Z371" s="2"/>
      <c r="AA371" s="2"/>
      <c r="AB371" s="2"/>
    </row>
    <row r="372" spans="1:28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U372" s="2"/>
      <c r="V372" s="2"/>
      <c r="W372" s="2"/>
      <c r="X372" s="2"/>
      <c r="Y372" s="2"/>
      <c r="Z372" s="2"/>
      <c r="AA372" s="2"/>
      <c r="AB372" s="2"/>
    </row>
    <row r="373" spans="1:28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U373" s="2"/>
      <c r="V373" s="2"/>
      <c r="W373" s="2"/>
      <c r="X373" s="2"/>
      <c r="Y373" s="2"/>
      <c r="Z373" s="2"/>
      <c r="AA373" s="2"/>
      <c r="AB373" s="2"/>
    </row>
    <row r="374" spans="1:28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U374" s="2"/>
      <c r="V374" s="2"/>
      <c r="W374" s="2"/>
      <c r="X374" s="2"/>
      <c r="Y374" s="2"/>
      <c r="Z374" s="2"/>
      <c r="AA374" s="2"/>
      <c r="AB374" s="2"/>
    </row>
    <row r="375" spans="1:28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U375" s="2"/>
      <c r="V375" s="2"/>
      <c r="W375" s="2"/>
      <c r="X375" s="2"/>
      <c r="Y375" s="2"/>
      <c r="Z375" s="2"/>
      <c r="AA375" s="2"/>
      <c r="AB375" s="2"/>
    </row>
    <row r="376" spans="1:28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U376" s="2"/>
      <c r="V376" s="2"/>
      <c r="W376" s="2"/>
      <c r="X376" s="2"/>
      <c r="Y376" s="2"/>
      <c r="Z376" s="2"/>
      <c r="AA376" s="2"/>
      <c r="AB376" s="2"/>
    </row>
    <row r="377" spans="1:28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U377" s="2"/>
      <c r="V377" s="2"/>
      <c r="W377" s="2"/>
      <c r="X377" s="2"/>
      <c r="Y377" s="2"/>
      <c r="Z377" s="2"/>
      <c r="AA377" s="2"/>
      <c r="AB377" s="2"/>
    </row>
    <row r="378" spans="1:28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U378" s="2"/>
      <c r="V378" s="2"/>
      <c r="W378" s="2"/>
      <c r="X378" s="2"/>
      <c r="Y378" s="2"/>
      <c r="Z378" s="2"/>
      <c r="AA378" s="2"/>
      <c r="AB378" s="2"/>
    </row>
    <row r="379" spans="1:28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U379" s="2"/>
      <c r="V379" s="2"/>
      <c r="W379" s="2"/>
      <c r="X379" s="2"/>
      <c r="Y379" s="2"/>
      <c r="Z379" s="2"/>
      <c r="AA379" s="2"/>
      <c r="AB379" s="2"/>
    </row>
    <row r="380" spans="1:28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U380" s="2"/>
      <c r="V380" s="2"/>
      <c r="W380" s="2"/>
      <c r="X380" s="2"/>
      <c r="Y380" s="2"/>
      <c r="Z380" s="2"/>
      <c r="AA380" s="2"/>
      <c r="AB380" s="2"/>
    </row>
    <row r="381" spans="1:28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U381" s="2"/>
      <c r="V381" s="2"/>
      <c r="W381" s="2"/>
      <c r="X381" s="2"/>
      <c r="Y381" s="2"/>
      <c r="Z381" s="2"/>
      <c r="AA381" s="2"/>
      <c r="AB381" s="2"/>
    </row>
    <row r="382" spans="1:28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U382" s="2"/>
      <c r="V382" s="2"/>
      <c r="W382" s="2"/>
      <c r="X382" s="2"/>
      <c r="Y382" s="2"/>
      <c r="Z382" s="2"/>
      <c r="AA382" s="2"/>
      <c r="AB382" s="2"/>
    </row>
    <row r="383" spans="1:28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U383" s="2"/>
      <c r="V383" s="2"/>
      <c r="W383" s="2"/>
      <c r="X383" s="2"/>
      <c r="Y383" s="2"/>
      <c r="Z383" s="2"/>
      <c r="AA383" s="2"/>
      <c r="AB383" s="2"/>
    </row>
    <row r="384" spans="1:28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U384" s="2"/>
      <c r="V384" s="2"/>
      <c r="W384" s="2"/>
      <c r="X384" s="2"/>
      <c r="Y384" s="2"/>
      <c r="Z384" s="2"/>
      <c r="AA384" s="2"/>
      <c r="AB384" s="2"/>
    </row>
    <row r="385" spans="1:28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U385" s="2"/>
      <c r="V385" s="2"/>
      <c r="W385" s="2"/>
      <c r="X385" s="2"/>
      <c r="Y385" s="2"/>
      <c r="Z385" s="2"/>
      <c r="AA385" s="2"/>
      <c r="AB385" s="2"/>
    </row>
    <row r="386" spans="1:28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U386" s="2"/>
      <c r="V386" s="2"/>
      <c r="W386" s="2"/>
      <c r="X386" s="2"/>
      <c r="Y386" s="2"/>
      <c r="Z386" s="2"/>
      <c r="AA386" s="2"/>
      <c r="AB386" s="2"/>
    </row>
    <row r="387" spans="1:28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U387" s="2"/>
      <c r="V387" s="2"/>
      <c r="W387" s="2"/>
      <c r="X387" s="2"/>
      <c r="Y387" s="2"/>
      <c r="Z387" s="2"/>
      <c r="AA387" s="2"/>
      <c r="AB387" s="2"/>
    </row>
    <row r="388" spans="1:28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U388" s="2"/>
      <c r="V388" s="2"/>
      <c r="W388" s="2"/>
      <c r="X388" s="2"/>
      <c r="Y388" s="2"/>
      <c r="Z388" s="2"/>
      <c r="AA388" s="2"/>
      <c r="AB388" s="2"/>
    </row>
    <row r="389" spans="1:28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U389" s="2"/>
      <c r="V389" s="2"/>
      <c r="W389" s="2"/>
      <c r="X389" s="2"/>
      <c r="Y389" s="2"/>
      <c r="Z389" s="2"/>
      <c r="AA389" s="2"/>
      <c r="AB389" s="2"/>
    </row>
    <row r="390" spans="1:28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U390" s="2"/>
      <c r="V390" s="2"/>
      <c r="W390" s="2"/>
      <c r="X390" s="2"/>
      <c r="Y390" s="2"/>
      <c r="Z390" s="2"/>
      <c r="AA390" s="2"/>
      <c r="AB390" s="2"/>
    </row>
    <row r="391" spans="1:28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U391" s="2"/>
      <c r="V391" s="2"/>
      <c r="W391" s="2"/>
      <c r="X391" s="2"/>
      <c r="Y391" s="2"/>
      <c r="Z391" s="2"/>
      <c r="AA391" s="2"/>
      <c r="AB391" s="2"/>
    </row>
    <row r="392" spans="1:28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U392" s="2"/>
      <c r="V392" s="2"/>
      <c r="W392" s="2"/>
      <c r="X392" s="2"/>
      <c r="Y392" s="2"/>
      <c r="Z392" s="2"/>
      <c r="AA392" s="2"/>
      <c r="AB392" s="2"/>
    </row>
    <row r="393" spans="1:28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U393" s="2"/>
      <c r="V393" s="2"/>
      <c r="W393" s="2"/>
      <c r="X393" s="2"/>
      <c r="Y393" s="2"/>
      <c r="Z393" s="2"/>
      <c r="AA393" s="2"/>
      <c r="AB393" s="2"/>
    </row>
    <row r="394" spans="1:28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U394" s="2"/>
      <c r="V394" s="2"/>
      <c r="W394" s="2"/>
      <c r="X394" s="2"/>
      <c r="Y394" s="2"/>
      <c r="Z394" s="2"/>
      <c r="AA394" s="2"/>
      <c r="AB394" s="2"/>
    </row>
    <row r="395" spans="1:28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U395" s="2"/>
      <c r="V395" s="2"/>
      <c r="W395" s="2"/>
      <c r="X395" s="2"/>
      <c r="Y395" s="2"/>
      <c r="Z395" s="2"/>
      <c r="AA395" s="2"/>
      <c r="AB395" s="2"/>
    </row>
    <row r="396" spans="1:28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U396" s="2"/>
      <c r="V396" s="2"/>
      <c r="W396" s="2"/>
      <c r="X396" s="2"/>
      <c r="Y396" s="2"/>
      <c r="Z396" s="2"/>
      <c r="AA396" s="2"/>
      <c r="AB396" s="2"/>
    </row>
    <row r="397" spans="1:28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U397" s="2"/>
      <c r="V397" s="2"/>
      <c r="W397" s="2"/>
      <c r="X397" s="2"/>
      <c r="Y397" s="2"/>
      <c r="Z397" s="2"/>
      <c r="AA397" s="2"/>
      <c r="AB397" s="2"/>
    </row>
    <row r="398" spans="1:28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U398" s="2"/>
      <c r="V398" s="2"/>
      <c r="W398" s="2"/>
      <c r="X398" s="2"/>
      <c r="Y398" s="2"/>
      <c r="Z398" s="2"/>
      <c r="AA398" s="2"/>
      <c r="AB398" s="2"/>
    </row>
    <row r="399" spans="1:28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U399" s="2"/>
      <c r="V399" s="2"/>
      <c r="W399" s="2"/>
      <c r="X399" s="2"/>
      <c r="Y399" s="2"/>
      <c r="Z399" s="2"/>
      <c r="AA399" s="2"/>
      <c r="AB399" s="2"/>
    </row>
    <row r="400" spans="1:28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U400" s="2"/>
      <c r="V400" s="2"/>
      <c r="W400" s="2"/>
      <c r="X400" s="2"/>
      <c r="Y400" s="2"/>
      <c r="Z400" s="2"/>
      <c r="AA400" s="2"/>
      <c r="AB400" s="2"/>
    </row>
    <row r="401" spans="1:28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U401" s="2"/>
      <c r="V401" s="2"/>
      <c r="W401" s="2"/>
      <c r="X401" s="2"/>
      <c r="Y401" s="2"/>
      <c r="Z401" s="2"/>
      <c r="AA401" s="2"/>
      <c r="AB401" s="2"/>
    </row>
    <row r="402" spans="1:28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U402" s="2"/>
      <c r="V402" s="2"/>
      <c r="W402" s="2"/>
      <c r="X402" s="2"/>
      <c r="Y402" s="2"/>
      <c r="Z402" s="2"/>
      <c r="AA402" s="2"/>
      <c r="AB402" s="2"/>
    </row>
    <row r="403" spans="1:28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U403" s="2"/>
      <c r="V403" s="2"/>
      <c r="W403" s="2"/>
      <c r="X403" s="2"/>
      <c r="Y403" s="2"/>
      <c r="Z403" s="2"/>
      <c r="AA403" s="2"/>
      <c r="AB403" s="2"/>
    </row>
    <row r="404" spans="1:28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U404" s="2"/>
      <c r="V404" s="2"/>
      <c r="W404" s="2"/>
      <c r="X404" s="2"/>
      <c r="Y404" s="2"/>
      <c r="Z404" s="2"/>
      <c r="AA404" s="2"/>
      <c r="AB404" s="2"/>
    </row>
    <row r="405" spans="1:28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U405" s="2"/>
      <c r="V405" s="2"/>
      <c r="W405" s="2"/>
      <c r="X405" s="2"/>
      <c r="Y405" s="2"/>
      <c r="Z405" s="2"/>
      <c r="AA405" s="2"/>
      <c r="AB405" s="2"/>
    </row>
    <row r="406" spans="1:28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U406" s="2"/>
      <c r="V406" s="2"/>
      <c r="W406" s="2"/>
      <c r="X406" s="2"/>
      <c r="Y406" s="2"/>
      <c r="Z406" s="2"/>
      <c r="AA406" s="2"/>
      <c r="AB406" s="2"/>
    </row>
    <row r="407" spans="1:28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U407" s="2"/>
      <c r="V407" s="2"/>
      <c r="W407" s="2"/>
      <c r="X407" s="2"/>
      <c r="Y407" s="2"/>
      <c r="Z407" s="2"/>
      <c r="AA407" s="2"/>
      <c r="AB407" s="2"/>
    </row>
    <row r="408" spans="1:28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U408" s="2"/>
      <c r="V408" s="2"/>
      <c r="W408" s="2"/>
      <c r="X408" s="2"/>
      <c r="Y408" s="2"/>
      <c r="Z408" s="2"/>
      <c r="AA408" s="2"/>
      <c r="AB408" s="2"/>
    </row>
    <row r="409" spans="1:28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U409" s="2"/>
      <c r="V409" s="2"/>
      <c r="W409" s="2"/>
      <c r="X409" s="2"/>
      <c r="Y409" s="2"/>
      <c r="Z409" s="2"/>
      <c r="AA409" s="2"/>
      <c r="AB409" s="2"/>
    </row>
    <row r="410" spans="1:28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U410" s="2"/>
      <c r="V410" s="2"/>
      <c r="W410" s="2"/>
      <c r="X410" s="2"/>
      <c r="Y410" s="2"/>
      <c r="Z410" s="2"/>
      <c r="AA410" s="2"/>
      <c r="AB410" s="2"/>
    </row>
    <row r="411" spans="1:28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U411" s="2"/>
      <c r="V411" s="2"/>
      <c r="W411" s="2"/>
      <c r="X411" s="2"/>
      <c r="Y411" s="2"/>
      <c r="Z411" s="2"/>
      <c r="AA411" s="2"/>
      <c r="AB411" s="2"/>
    </row>
    <row r="412" spans="1:28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U412" s="2"/>
      <c r="V412" s="2"/>
      <c r="W412" s="2"/>
      <c r="X412" s="2"/>
      <c r="Y412" s="2"/>
      <c r="Z412" s="2"/>
      <c r="AA412" s="2"/>
      <c r="AB412" s="2"/>
    </row>
    <row r="413" spans="1:28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U413" s="2"/>
      <c r="V413" s="2"/>
      <c r="W413" s="2"/>
      <c r="X413" s="2"/>
      <c r="Y413" s="2"/>
      <c r="Z413" s="2"/>
      <c r="AA413" s="2"/>
      <c r="AB413" s="2"/>
    </row>
    <row r="414" spans="1:28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U414" s="2"/>
      <c r="V414" s="2"/>
      <c r="W414" s="2"/>
      <c r="X414" s="2"/>
      <c r="Y414" s="2"/>
      <c r="Z414" s="2"/>
      <c r="AA414" s="2"/>
      <c r="AB414" s="2"/>
    </row>
    <row r="415" spans="1:28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U415" s="2"/>
      <c r="V415" s="2"/>
      <c r="W415" s="2"/>
      <c r="X415" s="2"/>
      <c r="Y415" s="2"/>
      <c r="Z415" s="2"/>
      <c r="AA415" s="2"/>
      <c r="AB415" s="2"/>
    </row>
    <row r="416" spans="1:28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U416" s="2"/>
      <c r="V416" s="2"/>
      <c r="W416" s="2"/>
      <c r="X416" s="2"/>
      <c r="Y416" s="2"/>
      <c r="Z416" s="2"/>
      <c r="AA416" s="2"/>
      <c r="AB416" s="2"/>
    </row>
    <row r="417" spans="1:28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U417" s="2"/>
      <c r="V417" s="2"/>
      <c r="W417" s="2"/>
      <c r="X417" s="2"/>
      <c r="Y417" s="2"/>
      <c r="Z417" s="2"/>
      <c r="AA417" s="2"/>
      <c r="AB417" s="2"/>
    </row>
    <row r="418" spans="1:28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U418" s="2"/>
      <c r="V418" s="2"/>
      <c r="W418" s="2"/>
      <c r="X418" s="2"/>
      <c r="Y418" s="2"/>
      <c r="Z418" s="2"/>
      <c r="AA418" s="2"/>
      <c r="AB418" s="2"/>
    </row>
    <row r="419" spans="1:28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U419" s="2"/>
      <c r="V419" s="2"/>
      <c r="W419" s="2"/>
      <c r="X419" s="2"/>
      <c r="Y419" s="2"/>
      <c r="Z419" s="2"/>
      <c r="AA419" s="2"/>
      <c r="AB419" s="2"/>
    </row>
    <row r="420" spans="1:28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U420" s="2"/>
      <c r="V420" s="2"/>
      <c r="W420" s="2"/>
      <c r="X420" s="2"/>
      <c r="Y420" s="2"/>
      <c r="Z420" s="2"/>
      <c r="AA420" s="2"/>
      <c r="AB420" s="2"/>
    </row>
    <row r="421" spans="1:28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U421" s="2"/>
      <c r="V421" s="2"/>
      <c r="W421" s="2"/>
      <c r="X421" s="2"/>
      <c r="Y421" s="2"/>
      <c r="Z421" s="2"/>
      <c r="AA421" s="2"/>
      <c r="AB421" s="2"/>
    </row>
    <row r="422" spans="1:28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U422" s="2"/>
      <c r="V422" s="2"/>
      <c r="W422" s="2"/>
      <c r="X422" s="2"/>
      <c r="Y422" s="2"/>
      <c r="Z422" s="2"/>
      <c r="AA422" s="2"/>
      <c r="AB422" s="2"/>
    </row>
    <row r="423" spans="1:28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U423" s="2"/>
      <c r="V423" s="2"/>
      <c r="W423" s="2"/>
      <c r="X423" s="2"/>
      <c r="Y423" s="2"/>
      <c r="Z423" s="2"/>
      <c r="AA423" s="2"/>
      <c r="AB423" s="2"/>
    </row>
    <row r="424" spans="1:28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U424" s="2"/>
      <c r="V424" s="2"/>
      <c r="W424" s="2"/>
      <c r="X424" s="2"/>
      <c r="Y424" s="2"/>
      <c r="Z424" s="2"/>
      <c r="AA424" s="2"/>
      <c r="AB424" s="2"/>
    </row>
    <row r="425" spans="1:28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U425" s="2"/>
      <c r="V425" s="2"/>
      <c r="W425" s="2"/>
      <c r="X425" s="2"/>
      <c r="Y425" s="2"/>
      <c r="Z425" s="2"/>
      <c r="AA425" s="2"/>
      <c r="AB425" s="2"/>
    </row>
    <row r="426" spans="1:28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U426" s="2"/>
      <c r="V426" s="2"/>
      <c r="W426" s="2"/>
      <c r="X426" s="2"/>
      <c r="Y426" s="2"/>
      <c r="Z426" s="2"/>
      <c r="AA426" s="2"/>
      <c r="AB426" s="2"/>
    </row>
    <row r="427" spans="1:28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U427" s="2"/>
      <c r="V427" s="2"/>
      <c r="W427" s="2"/>
      <c r="X427" s="2"/>
      <c r="Y427" s="2"/>
      <c r="Z427" s="2"/>
      <c r="AA427" s="2"/>
      <c r="AB427" s="2"/>
    </row>
    <row r="428" spans="1:28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U428" s="2"/>
      <c r="V428" s="2"/>
      <c r="W428" s="2"/>
      <c r="X428" s="2"/>
      <c r="Y428" s="2"/>
      <c r="Z428" s="2"/>
      <c r="AA428" s="2"/>
      <c r="AB428" s="2"/>
    </row>
    <row r="429" spans="1:28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U429" s="2"/>
      <c r="V429" s="2"/>
      <c r="W429" s="2"/>
      <c r="X429" s="2"/>
      <c r="Y429" s="2"/>
      <c r="Z429" s="2"/>
      <c r="AA429" s="2"/>
      <c r="AB429" s="2"/>
    </row>
    <row r="430" spans="1:28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U430" s="2"/>
      <c r="V430" s="2"/>
      <c r="W430" s="2"/>
      <c r="X430" s="2"/>
      <c r="Y430" s="2"/>
      <c r="Z430" s="2"/>
      <c r="AA430" s="2"/>
      <c r="AB430" s="2"/>
    </row>
    <row r="431" spans="1:28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U431" s="2"/>
      <c r="V431" s="2"/>
      <c r="W431" s="2"/>
      <c r="X431" s="2"/>
      <c r="Y431" s="2"/>
      <c r="Z431" s="2"/>
      <c r="AA431" s="2"/>
      <c r="AB431" s="2"/>
    </row>
    <row r="432" spans="1:28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U432" s="2"/>
      <c r="V432" s="2"/>
      <c r="W432" s="2"/>
      <c r="X432" s="2"/>
      <c r="Y432" s="2"/>
      <c r="Z432" s="2"/>
      <c r="AA432" s="2"/>
      <c r="AB432" s="2"/>
    </row>
    <row r="433" spans="1:28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U433" s="2"/>
      <c r="V433" s="2"/>
      <c r="W433" s="2"/>
      <c r="X433" s="2"/>
      <c r="Y433" s="2"/>
      <c r="Z433" s="2"/>
      <c r="AA433" s="2"/>
      <c r="AB433" s="2"/>
    </row>
    <row r="434" spans="1:28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U434" s="2"/>
      <c r="V434" s="2"/>
      <c r="W434" s="2"/>
      <c r="X434" s="2"/>
      <c r="Y434" s="2"/>
      <c r="Z434" s="2"/>
      <c r="AA434" s="2"/>
      <c r="AB434" s="2"/>
    </row>
    <row r="435" spans="1:28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U435" s="2"/>
      <c r="V435" s="2"/>
      <c r="W435" s="2"/>
      <c r="X435" s="2"/>
      <c r="Y435" s="2"/>
      <c r="Z435" s="2"/>
      <c r="AA435" s="2"/>
      <c r="AB435" s="2"/>
    </row>
    <row r="436" spans="1:28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U436" s="2"/>
      <c r="V436" s="2"/>
      <c r="W436" s="2"/>
      <c r="X436" s="2"/>
      <c r="Y436" s="2"/>
      <c r="Z436" s="2"/>
      <c r="AA436" s="2"/>
      <c r="AB436" s="2"/>
    </row>
    <row r="437" spans="1:28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U437" s="2"/>
      <c r="V437" s="2"/>
      <c r="W437" s="2"/>
      <c r="X437" s="2"/>
      <c r="Y437" s="2"/>
      <c r="Z437" s="2"/>
      <c r="AA437" s="2"/>
      <c r="AB437" s="2"/>
    </row>
    <row r="438" spans="1:28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U438" s="2"/>
      <c r="V438" s="2"/>
      <c r="W438" s="2"/>
      <c r="X438" s="2"/>
      <c r="Y438" s="2"/>
      <c r="Z438" s="2"/>
      <c r="AA438" s="2"/>
      <c r="AB438" s="2"/>
    </row>
    <row r="439" spans="1:28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U439" s="2"/>
      <c r="V439" s="2"/>
      <c r="W439" s="2"/>
      <c r="X439" s="2"/>
      <c r="Y439" s="2"/>
      <c r="Z439" s="2"/>
      <c r="AA439" s="2"/>
      <c r="AB439" s="2"/>
    </row>
    <row r="440" spans="1:28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U440" s="2"/>
      <c r="V440" s="2"/>
      <c r="W440" s="2"/>
      <c r="X440" s="2"/>
      <c r="Y440" s="2"/>
      <c r="Z440" s="2"/>
      <c r="AA440" s="2"/>
      <c r="AB440" s="2"/>
    </row>
    <row r="441" spans="1:28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U441" s="2"/>
      <c r="V441" s="2"/>
      <c r="W441" s="2"/>
      <c r="X441" s="2"/>
      <c r="Y441" s="2"/>
      <c r="Z441" s="2"/>
      <c r="AA441" s="2"/>
      <c r="AB441" s="2"/>
    </row>
    <row r="442" spans="1:28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U442" s="2"/>
      <c r="V442" s="2"/>
      <c r="W442" s="2"/>
      <c r="X442" s="2"/>
      <c r="Y442" s="2"/>
      <c r="Z442" s="2"/>
      <c r="AA442" s="2"/>
      <c r="AB442" s="2"/>
    </row>
    <row r="443" spans="1:28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U443" s="2"/>
      <c r="V443" s="2"/>
      <c r="W443" s="2"/>
      <c r="X443" s="2"/>
      <c r="Y443" s="2"/>
      <c r="Z443" s="2"/>
      <c r="AA443" s="2"/>
      <c r="AB443" s="2"/>
    </row>
    <row r="444" spans="1:28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U444" s="2"/>
      <c r="V444" s="2"/>
      <c r="W444" s="2"/>
      <c r="X444" s="2"/>
      <c r="Y444" s="2"/>
      <c r="Z444" s="2"/>
      <c r="AA444" s="2"/>
      <c r="AB444" s="2"/>
    </row>
    <row r="445" spans="1:28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U445" s="2"/>
      <c r="V445" s="2"/>
      <c r="W445" s="2"/>
      <c r="X445" s="2"/>
      <c r="Y445" s="2"/>
      <c r="Z445" s="2"/>
      <c r="AA445" s="2"/>
      <c r="AB445" s="2"/>
    </row>
    <row r="446" spans="1:28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U446" s="2"/>
      <c r="V446" s="2"/>
      <c r="W446" s="2"/>
      <c r="X446" s="2"/>
      <c r="Y446" s="2"/>
      <c r="Z446" s="2"/>
      <c r="AA446" s="2"/>
      <c r="AB446" s="2"/>
    </row>
    <row r="447" spans="1:28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U447" s="2"/>
      <c r="V447" s="2"/>
      <c r="W447" s="2"/>
      <c r="X447" s="2"/>
      <c r="Y447" s="2"/>
      <c r="Z447" s="2"/>
      <c r="AA447" s="2"/>
      <c r="AB447" s="2"/>
    </row>
    <row r="448" spans="1:28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U448" s="2"/>
      <c r="V448" s="2"/>
      <c r="W448" s="2"/>
      <c r="X448" s="2"/>
      <c r="Y448" s="2"/>
      <c r="Z448" s="2"/>
      <c r="AA448" s="2"/>
      <c r="AB448" s="2"/>
    </row>
    <row r="449" spans="1:28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U449" s="2"/>
      <c r="V449" s="2"/>
      <c r="W449" s="2"/>
      <c r="X449" s="2"/>
      <c r="Y449" s="2"/>
      <c r="Z449" s="2"/>
      <c r="AA449" s="2"/>
      <c r="AB449" s="2"/>
    </row>
    <row r="450" spans="1:28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U450" s="2"/>
      <c r="V450" s="2"/>
      <c r="W450" s="2"/>
      <c r="X450" s="2"/>
      <c r="Y450" s="2"/>
      <c r="Z450" s="2"/>
      <c r="AA450" s="2"/>
      <c r="AB450" s="2"/>
    </row>
    <row r="451" spans="1:28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U451" s="2"/>
      <c r="V451" s="2"/>
      <c r="W451" s="2"/>
      <c r="X451" s="2"/>
      <c r="Y451" s="2"/>
      <c r="Z451" s="2"/>
      <c r="AA451" s="2"/>
      <c r="AB451" s="2"/>
    </row>
    <row r="452" spans="1:28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U452" s="2"/>
      <c r="V452" s="2"/>
      <c r="W452" s="2"/>
      <c r="X452" s="2"/>
      <c r="Y452" s="2"/>
      <c r="Z452" s="2"/>
      <c r="AA452" s="2"/>
      <c r="AB452" s="2"/>
    </row>
    <row r="453" spans="1:28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U453" s="2"/>
      <c r="V453" s="2"/>
      <c r="W453" s="2"/>
      <c r="X453" s="2"/>
      <c r="Y453" s="2"/>
      <c r="Z453" s="2"/>
      <c r="AA453" s="2"/>
      <c r="AB453" s="2"/>
    </row>
    <row r="454" spans="1:28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U454" s="2"/>
      <c r="V454" s="2"/>
      <c r="W454" s="2"/>
      <c r="X454" s="2"/>
      <c r="Y454" s="2"/>
      <c r="Z454" s="2"/>
      <c r="AA454" s="2"/>
      <c r="AB454" s="2"/>
    </row>
    <row r="455" spans="1:28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U455" s="2"/>
      <c r="V455" s="2"/>
      <c r="W455" s="2"/>
      <c r="X455" s="2"/>
      <c r="Y455" s="2"/>
      <c r="Z455" s="2"/>
      <c r="AA455" s="2"/>
      <c r="AB455" s="2"/>
    </row>
    <row r="456" spans="1:28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U456" s="2"/>
      <c r="V456" s="2"/>
      <c r="W456" s="2"/>
      <c r="X456" s="2"/>
      <c r="Y456" s="2"/>
      <c r="Z456" s="2"/>
      <c r="AA456" s="2"/>
      <c r="AB456" s="2"/>
    </row>
    <row r="457" spans="1:28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U457" s="2"/>
      <c r="V457" s="2"/>
      <c r="W457" s="2"/>
      <c r="X457" s="2"/>
      <c r="Y457" s="2"/>
      <c r="Z457" s="2"/>
      <c r="AA457" s="2"/>
      <c r="AB457" s="2"/>
    </row>
    <row r="458" spans="1:28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U458" s="2"/>
      <c r="V458" s="2"/>
      <c r="W458" s="2"/>
      <c r="X458" s="2"/>
      <c r="Y458" s="2"/>
      <c r="Z458" s="2"/>
      <c r="AA458" s="2"/>
      <c r="AB458" s="2"/>
    </row>
    <row r="459" spans="1:28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U459" s="2"/>
      <c r="V459" s="2"/>
      <c r="W459" s="2"/>
      <c r="X459" s="2"/>
      <c r="Y459" s="2"/>
      <c r="Z459" s="2"/>
      <c r="AA459" s="2"/>
      <c r="AB459" s="2"/>
    </row>
    <row r="460" spans="1:28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U460" s="2"/>
      <c r="V460" s="2"/>
      <c r="W460" s="2"/>
      <c r="X460" s="2"/>
      <c r="Y460" s="2"/>
      <c r="Z460" s="2"/>
      <c r="AA460" s="2"/>
      <c r="AB460" s="2"/>
    </row>
    <row r="461" spans="1:28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U461" s="2"/>
      <c r="V461" s="2"/>
      <c r="W461" s="2"/>
      <c r="X461" s="2"/>
      <c r="Y461" s="2"/>
      <c r="Z461" s="2"/>
      <c r="AA461" s="2"/>
      <c r="AB461" s="2"/>
    </row>
    <row r="462" spans="1:28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U462" s="2"/>
      <c r="V462" s="2"/>
      <c r="W462" s="2"/>
      <c r="X462" s="2"/>
      <c r="Y462" s="2"/>
      <c r="Z462" s="2"/>
      <c r="AA462" s="2"/>
      <c r="AB462" s="2"/>
    </row>
    <row r="463" spans="1:28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U463" s="2"/>
      <c r="V463" s="2"/>
      <c r="W463" s="2"/>
      <c r="X463" s="2"/>
      <c r="Y463" s="2"/>
      <c r="Z463" s="2"/>
      <c r="AA463" s="2"/>
      <c r="AB463" s="2"/>
    </row>
    <row r="464" spans="1:28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U464" s="2"/>
      <c r="V464" s="2"/>
      <c r="W464" s="2"/>
      <c r="X464" s="2"/>
      <c r="Y464" s="2"/>
      <c r="Z464" s="2"/>
      <c r="AA464" s="2"/>
      <c r="AB464" s="2"/>
    </row>
    <row r="465" spans="1:28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U465" s="2"/>
      <c r="V465" s="2"/>
      <c r="W465" s="2"/>
      <c r="X465" s="2"/>
      <c r="Y465" s="2"/>
      <c r="Z465" s="2"/>
      <c r="AA465" s="2"/>
      <c r="AB465" s="2"/>
    </row>
    <row r="466" spans="1:28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U466" s="2"/>
      <c r="V466" s="2"/>
      <c r="W466" s="2"/>
      <c r="X466" s="2"/>
      <c r="Y466" s="2"/>
      <c r="Z466" s="2"/>
      <c r="AA466" s="2"/>
      <c r="AB466" s="2"/>
    </row>
    <row r="467" spans="1:28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U467" s="2"/>
      <c r="V467" s="2"/>
      <c r="W467" s="2"/>
      <c r="X467" s="2"/>
      <c r="Y467" s="2"/>
      <c r="Z467" s="2"/>
      <c r="AA467" s="2"/>
      <c r="AB467" s="2"/>
    </row>
    <row r="468" spans="1:28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U468" s="2"/>
      <c r="V468" s="2"/>
      <c r="W468" s="2"/>
      <c r="X468" s="2"/>
      <c r="Y468" s="2"/>
      <c r="Z468" s="2"/>
      <c r="AA468" s="2"/>
      <c r="AB468" s="2"/>
    </row>
    <row r="469" spans="1:28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U469" s="2"/>
      <c r="V469" s="2"/>
      <c r="W469" s="2"/>
      <c r="X469" s="2"/>
      <c r="Y469" s="2"/>
      <c r="Z469" s="2"/>
      <c r="AA469" s="2"/>
      <c r="AB469" s="2"/>
    </row>
    <row r="470" spans="1:28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U470" s="2"/>
      <c r="V470" s="2"/>
      <c r="W470" s="2"/>
      <c r="X470" s="2"/>
      <c r="Y470" s="2"/>
      <c r="Z470" s="2"/>
      <c r="AA470" s="2"/>
      <c r="AB470" s="2"/>
    </row>
    <row r="471" spans="1:28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U471" s="2"/>
      <c r="V471" s="2"/>
      <c r="W471" s="2"/>
      <c r="X471" s="2"/>
      <c r="Y471" s="2"/>
      <c r="Z471" s="2"/>
      <c r="AA471" s="2"/>
      <c r="AB471" s="2"/>
    </row>
    <row r="472" spans="1:28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U472" s="2"/>
      <c r="V472" s="2"/>
      <c r="W472" s="2"/>
      <c r="X472" s="2"/>
      <c r="Y472" s="2"/>
      <c r="Z472" s="2"/>
      <c r="AA472" s="2"/>
      <c r="AB472" s="2"/>
    </row>
    <row r="473" spans="1:28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U473" s="2"/>
      <c r="V473" s="2"/>
      <c r="W473" s="2"/>
      <c r="X473" s="2"/>
      <c r="Y473" s="2"/>
      <c r="Z473" s="2"/>
      <c r="AA473" s="2"/>
      <c r="AB473" s="2"/>
    </row>
    <row r="474" spans="1:28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U474" s="2"/>
      <c r="V474" s="2"/>
      <c r="W474" s="2"/>
      <c r="X474" s="2"/>
      <c r="Y474" s="2"/>
      <c r="Z474" s="2"/>
      <c r="AA474" s="2"/>
      <c r="AB474" s="2"/>
    </row>
    <row r="475" spans="1:28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U475" s="2"/>
      <c r="V475" s="2"/>
      <c r="W475" s="2"/>
      <c r="X475" s="2"/>
      <c r="Y475" s="2"/>
      <c r="Z475" s="2"/>
      <c r="AA475" s="2"/>
      <c r="AB475" s="2"/>
    </row>
    <row r="476" spans="1:28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U476" s="2"/>
      <c r="V476" s="2"/>
      <c r="W476" s="2"/>
      <c r="X476" s="2"/>
      <c r="Y476" s="2"/>
      <c r="Z476" s="2"/>
      <c r="AA476" s="2"/>
      <c r="AB476" s="2"/>
    </row>
    <row r="477" spans="1:28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U477" s="2"/>
      <c r="V477" s="2"/>
      <c r="W477" s="2"/>
      <c r="X477" s="2"/>
      <c r="Y477" s="2"/>
      <c r="Z477" s="2"/>
      <c r="AA477" s="2"/>
      <c r="AB477" s="2"/>
    </row>
    <row r="478" spans="1:28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U478" s="2"/>
      <c r="V478" s="2"/>
      <c r="W478" s="2"/>
      <c r="X478" s="2"/>
      <c r="Y478" s="2"/>
      <c r="Z478" s="2"/>
      <c r="AA478" s="2"/>
      <c r="AB478" s="2"/>
    </row>
    <row r="479" spans="1:28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U479" s="2"/>
      <c r="V479" s="2"/>
      <c r="W479" s="2"/>
      <c r="X479" s="2"/>
      <c r="Y479" s="2"/>
      <c r="Z479" s="2"/>
      <c r="AA479" s="2"/>
      <c r="AB479" s="2"/>
    </row>
    <row r="480" spans="1:28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U480" s="2"/>
      <c r="V480" s="2"/>
      <c r="W480" s="2"/>
      <c r="X480" s="2"/>
      <c r="Y480" s="2"/>
      <c r="Z480" s="2"/>
      <c r="AA480" s="2"/>
      <c r="AB480" s="2"/>
    </row>
    <row r="481" spans="1:28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U481" s="2"/>
      <c r="V481" s="2"/>
      <c r="W481" s="2"/>
      <c r="X481" s="2"/>
      <c r="Y481" s="2"/>
      <c r="Z481" s="2"/>
      <c r="AA481" s="2"/>
      <c r="AB481" s="2"/>
    </row>
    <row r="482" spans="1:28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U482" s="2"/>
      <c r="V482" s="2"/>
      <c r="W482" s="2"/>
      <c r="X482" s="2"/>
      <c r="Y482" s="2"/>
      <c r="Z482" s="2"/>
      <c r="AA482" s="2"/>
      <c r="AB482" s="2"/>
    </row>
    <row r="483" spans="1:28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U483" s="2"/>
      <c r="V483" s="2"/>
      <c r="W483" s="2"/>
      <c r="X483" s="2"/>
      <c r="Y483" s="2"/>
      <c r="Z483" s="2"/>
      <c r="AA483" s="2"/>
      <c r="AB483" s="2"/>
    </row>
    <row r="484" spans="1:28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U484" s="2"/>
      <c r="V484" s="2"/>
      <c r="W484" s="2"/>
      <c r="X484" s="2"/>
      <c r="Y484" s="2"/>
      <c r="Z484" s="2"/>
      <c r="AA484" s="2"/>
      <c r="AB484" s="2"/>
    </row>
    <row r="485" spans="1:28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U485" s="2"/>
      <c r="V485" s="2"/>
      <c r="W485" s="2"/>
      <c r="X485" s="2"/>
      <c r="Y485" s="2"/>
      <c r="Z485" s="2"/>
      <c r="AA485" s="2"/>
      <c r="AB485" s="2"/>
    </row>
    <row r="486" spans="1:28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U486" s="2"/>
      <c r="V486" s="2"/>
      <c r="W486" s="2"/>
      <c r="X486" s="2"/>
      <c r="Y486" s="2"/>
      <c r="Z486" s="2"/>
      <c r="AA486" s="2"/>
      <c r="AB486" s="2"/>
    </row>
    <row r="487" spans="1:28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U487" s="2"/>
      <c r="V487" s="2"/>
      <c r="W487" s="2"/>
      <c r="X487" s="2"/>
      <c r="Y487" s="2"/>
      <c r="Z487" s="2"/>
      <c r="AA487" s="2"/>
      <c r="AB487" s="2"/>
    </row>
    <row r="488" spans="1:28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U488" s="2"/>
      <c r="V488" s="2"/>
      <c r="W488" s="2"/>
      <c r="X488" s="2"/>
      <c r="Y488" s="2"/>
      <c r="Z488" s="2"/>
      <c r="AA488" s="2"/>
      <c r="AB488" s="2"/>
    </row>
    <row r="489" spans="1:28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U489" s="2"/>
      <c r="V489" s="2"/>
      <c r="W489" s="2"/>
      <c r="X489" s="2"/>
      <c r="Y489" s="2"/>
      <c r="Z489" s="2"/>
      <c r="AA489" s="2"/>
      <c r="AB489" s="2"/>
    </row>
    <row r="490" spans="1:28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U490" s="2"/>
      <c r="V490" s="2"/>
      <c r="W490" s="2"/>
      <c r="X490" s="2"/>
      <c r="Y490" s="2"/>
      <c r="Z490" s="2"/>
      <c r="AA490" s="2"/>
      <c r="AB490" s="2"/>
    </row>
    <row r="491" spans="1:28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U491" s="2"/>
      <c r="V491" s="2"/>
      <c r="W491" s="2"/>
      <c r="X491" s="2"/>
      <c r="Y491" s="2"/>
      <c r="Z491" s="2"/>
      <c r="AA491" s="2"/>
      <c r="AB491" s="2"/>
    </row>
    <row r="492" spans="1:28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U492" s="2"/>
      <c r="V492" s="2"/>
      <c r="W492" s="2"/>
      <c r="X492" s="2"/>
      <c r="Y492" s="2"/>
      <c r="Z492" s="2"/>
      <c r="AA492" s="2"/>
      <c r="AB492" s="2"/>
    </row>
    <row r="493" spans="1:28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U493" s="2"/>
      <c r="V493" s="2"/>
      <c r="W493" s="2"/>
      <c r="X493" s="2"/>
      <c r="Y493" s="2"/>
      <c r="Z493" s="2"/>
      <c r="AA493" s="2"/>
      <c r="AB493" s="2"/>
    </row>
    <row r="494" spans="1:28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U494" s="2"/>
      <c r="V494" s="2"/>
      <c r="W494" s="2"/>
      <c r="X494" s="2"/>
      <c r="Y494" s="2"/>
      <c r="Z494" s="2"/>
      <c r="AA494" s="2"/>
      <c r="AB494" s="2"/>
    </row>
    <row r="495" spans="1:28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U495" s="2"/>
      <c r="V495" s="2"/>
      <c r="W495" s="2"/>
      <c r="X495" s="2"/>
      <c r="Y495" s="2"/>
      <c r="Z495" s="2"/>
      <c r="AA495" s="2"/>
      <c r="AB495" s="2"/>
    </row>
    <row r="496" spans="1:28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U496" s="2"/>
      <c r="V496" s="2"/>
      <c r="W496" s="2"/>
      <c r="X496" s="2"/>
      <c r="Y496" s="2"/>
      <c r="Z496" s="2"/>
      <c r="AA496" s="2"/>
      <c r="AB496" s="2"/>
    </row>
    <row r="497" spans="1:28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U497" s="2"/>
      <c r="V497" s="2"/>
      <c r="W497" s="2"/>
      <c r="X497" s="2"/>
      <c r="Y497" s="2"/>
      <c r="Z497" s="2"/>
      <c r="AA497" s="2"/>
      <c r="AB497" s="2"/>
    </row>
    <row r="498" spans="1:28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U498" s="2"/>
      <c r="V498" s="2"/>
      <c r="W498" s="2"/>
      <c r="X498" s="2"/>
      <c r="Y498" s="2"/>
      <c r="Z498" s="2"/>
      <c r="AA498" s="2"/>
      <c r="AB498" s="2"/>
    </row>
    <row r="499" spans="1:28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U499" s="2"/>
      <c r="V499" s="2"/>
      <c r="W499" s="2"/>
      <c r="X499" s="2"/>
      <c r="Y499" s="2"/>
      <c r="Z499" s="2"/>
      <c r="AA499" s="2"/>
      <c r="AB499" s="2"/>
    </row>
    <row r="500" spans="1:28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U500" s="2"/>
      <c r="V500" s="2"/>
      <c r="W500" s="2"/>
      <c r="X500" s="2"/>
      <c r="Y500" s="2"/>
      <c r="Z500" s="2"/>
      <c r="AA500" s="2"/>
      <c r="AB500" s="2"/>
    </row>
    <row r="501" spans="1:28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U501" s="2"/>
      <c r="V501" s="2"/>
      <c r="W501" s="2"/>
      <c r="X501" s="2"/>
      <c r="Y501" s="2"/>
      <c r="Z501" s="2"/>
      <c r="AA501" s="2"/>
      <c r="AB501" s="2"/>
    </row>
    <row r="502" spans="1:28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U502" s="2"/>
      <c r="V502" s="2"/>
      <c r="W502" s="2"/>
      <c r="X502" s="2"/>
      <c r="Y502" s="2"/>
      <c r="Z502" s="2"/>
      <c r="AA502" s="2"/>
      <c r="AB502" s="2"/>
    </row>
    <row r="503" spans="1:28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U503" s="2"/>
      <c r="V503" s="2"/>
      <c r="W503" s="2"/>
      <c r="X503" s="2"/>
      <c r="Y503" s="2"/>
      <c r="Z503" s="2"/>
      <c r="AA503" s="2"/>
      <c r="AB503" s="2"/>
    </row>
    <row r="504" spans="1:28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U504" s="2"/>
      <c r="V504" s="2"/>
      <c r="W504" s="2"/>
      <c r="X504" s="2"/>
      <c r="Y504" s="2"/>
      <c r="Z504" s="2"/>
      <c r="AA504" s="2"/>
      <c r="AB504" s="2"/>
    </row>
    <row r="505" spans="1:28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U505" s="2"/>
      <c r="V505" s="2"/>
      <c r="W505" s="2"/>
      <c r="X505" s="2"/>
      <c r="Y505" s="2"/>
      <c r="Z505" s="2"/>
      <c r="AA505" s="2"/>
      <c r="AB505" s="2"/>
    </row>
    <row r="506" spans="1:28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U506" s="2"/>
      <c r="V506" s="2"/>
      <c r="W506" s="2"/>
      <c r="X506" s="2"/>
      <c r="Y506" s="2"/>
      <c r="Z506" s="2"/>
      <c r="AA506" s="2"/>
      <c r="AB506" s="2"/>
    </row>
    <row r="507" spans="1:28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U507" s="2"/>
      <c r="V507" s="2"/>
      <c r="W507" s="2"/>
      <c r="X507" s="2"/>
      <c r="Y507" s="2"/>
      <c r="Z507" s="2"/>
      <c r="AA507" s="2"/>
      <c r="AB507" s="2"/>
    </row>
    <row r="508" spans="1:28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U508" s="2"/>
      <c r="V508" s="2"/>
      <c r="W508" s="2"/>
      <c r="X508" s="2"/>
      <c r="Y508" s="2"/>
      <c r="Z508" s="2"/>
      <c r="AA508" s="2"/>
      <c r="AB508" s="2"/>
    </row>
    <row r="509" spans="1:28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U509" s="2"/>
      <c r="V509" s="2"/>
      <c r="W509" s="2"/>
      <c r="X509" s="2"/>
      <c r="Y509" s="2"/>
      <c r="Z509" s="2"/>
      <c r="AA509" s="2"/>
      <c r="AB509" s="2"/>
    </row>
    <row r="510" spans="1:28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U510" s="2"/>
      <c r="V510" s="2"/>
      <c r="W510" s="2"/>
      <c r="X510" s="2"/>
      <c r="Y510" s="2"/>
      <c r="Z510" s="2"/>
      <c r="AA510" s="2"/>
      <c r="AB510" s="2"/>
    </row>
    <row r="511" spans="1:28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U511" s="2"/>
      <c r="V511" s="2"/>
      <c r="W511" s="2"/>
      <c r="X511" s="2"/>
      <c r="Y511" s="2"/>
      <c r="Z511" s="2"/>
      <c r="AA511" s="2"/>
      <c r="AB511" s="2"/>
    </row>
    <row r="512" spans="1:28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U512" s="2"/>
      <c r="V512" s="2"/>
      <c r="W512" s="2"/>
      <c r="X512" s="2"/>
      <c r="Y512" s="2"/>
      <c r="Z512" s="2"/>
      <c r="AA512" s="2"/>
      <c r="AB512" s="2"/>
    </row>
    <row r="513" spans="1:28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U513" s="2"/>
      <c r="V513" s="2"/>
      <c r="W513" s="2"/>
      <c r="X513" s="2"/>
      <c r="Y513" s="2"/>
      <c r="Z513" s="2"/>
      <c r="AA513" s="2"/>
      <c r="AB513" s="2"/>
    </row>
    <row r="514" spans="1:28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U514" s="2"/>
      <c r="V514" s="2"/>
      <c r="W514" s="2"/>
      <c r="X514" s="2"/>
      <c r="Y514" s="2"/>
      <c r="Z514" s="2"/>
      <c r="AA514" s="2"/>
      <c r="AB514" s="2"/>
    </row>
    <row r="515" spans="1:28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U515" s="2"/>
      <c r="V515" s="2"/>
      <c r="W515" s="2"/>
      <c r="X515" s="2"/>
      <c r="Y515" s="2"/>
      <c r="Z515" s="2"/>
      <c r="AA515" s="2"/>
      <c r="AB515" s="2"/>
    </row>
    <row r="516" spans="1:28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U516" s="2"/>
      <c r="V516" s="2"/>
      <c r="W516" s="2"/>
      <c r="X516" s="2"/>
      <c r="Y516" s="2"/>
      <c r="Z516" s="2"/>
      <c r="AA516" s="2"/>
      <c r="AB516" s="2"/>
    </row>
    <row r="517" spans="1:28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U517" s="2"/>
      <c r="V517" s="2"/>
      <c r="W517" s="2"/>
      <c r="X517" s="2"/>
      <c r="Y517" s="2"/>
      <c r="Z517" s="2"/>
      <c r="AA517" s="2"/>
      <c r="AB517" s="2"/>
    </row>
    <row r="518" spans="1:28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U518" s="2"/>
      <c r="V518" s="2"/>
      <c r="W518" s="2"/>
      <c r="X518" s="2"/>
      <c r="Y518" s="2"/>
      <c r="Z518" s="2"/>
      <c r="AA518" s="2"/>
      <c r="AB518" s="2"/>
    </row>
    <row r="519" spans="1:28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U519" s="2"/>
      <c r="V519" s="2"/>
      <c r="W519" s="2"/>
      <c r="X519" s="2"/>
      <c r="Y519" s="2"/>
      <c r="Z519" s="2"/>
      <c r="AA519" s="2"/>
      <c r="AB519" s="2"/>
    </row>
    <row r="520" spans="1:28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U520" s="2"/>
      <c r="V520" s="2"/>
      <c r="W520" s="2"/>
      <c r="X520" s="2"/>
      <c r="Y520" s="2"/>
      <c r="Z520" s="2"/>
      <c r="AA520" s="2"/>
      <c r="AB520" s="2"/>
    </row>
    <row r="521" spans="1:28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U521" s="2"/>
      <c r="V521" s="2"/>
      <c r="W521" s="2"/>
      <c r="X521" s="2"/>
      <c r="Y521" s="2"/>
      <c r="Z521" s="2"/>
      <c r="AA521" s="2"/>
      <c r="AB521" s="2"/>
    </row>
    <row r="522" spans="1:28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U522" s="2"/>
      <c r="V522" s="2"/>
      <c r="W522" s="2"/>
      <c r="X522" s="2"/>
      <c r="Y522" s="2"/>
      <c r="Z522" s="2"/>
      <c r="AA522" s="2"/>
      <c r="AB522" s="2"/>
    </row>
    <row r="523" spans="1:28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U523" s="2"/>
      <c r="V523" s="2"/>
      <c r="W523" s="2"/>
      <c r="X523" s="2"/>
      <c r="Y523" s="2"/>
      <c r="Z523" s="2"/>
      <c r="AA523" s="2"/>
      <c r="AB523" s="2"/>
    </row>
    <row r="524" spans="1:28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U524" s="2"/>
      <c r="V524" s="2"/>
      <c r="W524" s="2"/>
      <c r="X524" s="2"/>
      <c r="Y524" s="2"/>
      <c r="Z524" s="2"/>
      <c r="AA524" s="2"/>
      <c r="AB524" s="2"/>
    </row>
    <row r="525" spans="1:28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U525" s="2"/>
      <c r="V525" s="2"/>
      <c r="W525" s="2"/>
      <c r="X525" s="2"/>
      <c r="Y525" s="2"/>
      <c r="Z525" s="2"/>
      <c r="AA525" s="2"/>
      <c r="AB525" s="2"/>
    </row>
    <row r="526" spans="1:28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U526" s="2"/>
      <c r="V526" s="2"/>
      <c r="W526" s="2"/>
      <c r="X526" s="2"/>
      <c r="Y526" s="2"/>
      <c r="Z526" s="2"/>
      <c r="AA526" s="2"/>
      <c r="AB526" s="2"/>
    </row>
    <row r="527" spans="1:28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U527" s="2"/>
      <c r="V527" s="2"/>
      <c r="W527" s="2"/>
      <c r="X527" s="2"/>
      <c r="Y527" s="2"/>
      <c r="Z527" s="2"/>
      <c r="AA527" s="2"/>
      <c r="AB527" s="2"/>
    </row>
    <row r="528" spans="1:28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U528" s="2"/>
      <c r="V528" s="2"/>
      <c r="W528" s="2"/>
      <c r="X528" s="2"/>
      <c r="Y528" s="2"/>
      <c r="Z528" s="2"/>
      <c r="AA528" s="2"/>
      <c r="AB528" s="2"/>
    </row>
    <row r="529" spans="1:28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U529" s="2"/>
      <c r="V529" s="2"/>
      <c r="W529" s="2"/>
      <c r="X529" s="2"/>
      <c r="Y529" s="2"/>
      <c r="Z529" s="2"/>
      <c r="AA529" s="2"/>
      <c r="AB529" s="2"/>
    </row>
    <row r="530" spans="1:28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U530" s="2"/>
      <c r="V530" s="2"/>
      <c r="W530" s="2"/>
      <c r="X530" s="2"/>
      <c r="Y530" s="2"/>
      <c r="Z530" s="2"/>
      <c r="AA530" s="2"/>
      <c r="AB530" s="2"/>
    </row>
    <row r="531" spans="1:28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U531" s="2"/>
      <c r="V531" s="2"/>
      <c r="W531" s="2"/>
      <c r="X531" s="2"/>
      <c r="Y531" s="2"/>
      <c r="Z531" s="2"/>
      <c r="AA531" s="2"/>
      <c r="AB531" s="2"/>
    </row>
    <row r="532" spans="1:28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U532" s="2"/>
      <c r="V532" s="2"/>
      <c r="W532" s="2"/>
      <c r="X532" s="2"/>
      <c r="Y532" s="2"/>
      <c r="Z532" s="2"/>
      <c r="AA532" s="2"/>
      <c r="AB532" s="2"/>
    </row>
    <row r="533" spans="1:28" ht="1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U533" s="2"/>
      <c r="V533" s="2"/>
      <c r="W533" s="2"/>
      <c r="X533" s="2"/>
      <c r="Y533" s="2"/>
      <c r="Z533" s="2"/>
      <c r="AA533" s="2"/>
      <c r="AB533" s="2"/>
    </row>
    <row r="534" spans="1:28" ht="1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U534" s="2"/>
      <c r="V534" s="2"/>
      <c r="W534" s="2"/>
      <c r="X534" s="2"/>
      <c r="Y534" s="2"/>
      <c r="Z534" s="2"/>
      <c r="AA534" s="2"/>
      <c r="AB534" s="2"/>
    </row>
    <row r="535" spans="1:28" ht="1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U535" s="2"/>
      <c r="V535" s="2"/>
      <c r="W535" s="2"/>
      <c r="X535" s="2"/>
      <c r="Y535" s="2"/>
      <c r="Z535" s="2"/>
      <c r="AA535" s="2"/>
      <c r="AB535" s="2"/>
    </row>
    <row r="536" spans="1:28" ht="1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U536" s="2"/>
      <c r="V536" s="2"/>
      <c r="W536" s="2"/>
      <c r="X536" s="2"/>
      <c r="Y536" s="2"/>
      <c r="Z536" s="2"/>
      <c r="AA536" s="2"/>
      <c r="AB536" s="2"/>
    </row>
    <row r="537" spans="1:28" ht="1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U537" s="2"/>
      <c r="V537" s="2"/>
      <c r="W537" s="2"/>
      <c r="X537" s="2"/>
      <c r="Y537" s="2"/>
      <c r="Z537" s="2"/>
      <c r="AA537" s="2"/>
      <c r="AB537" s="2"/>
    </row>
    <row r="538" spans="1:28" ht="1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U538" s="2"/>
      <c r="V538" s="2"/>
      <c r="W538" s="2"/>
      <c r="X538" s="2"/>
      <c r="Y538" s="2"/>
      <c r="Z538" s="2"/>
      <c r="AA538" s="2"/>
      <c r="AB538" s="2"/>
    </row>
    <row r="539" spans="1:28" ht="1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U539" s="2"/>
      <c r="V539" s="2"/>
      <c r="W539" s="2"/>
      <c r="X539" s="2"/>
      <c r="Y539" s="2"/>
      <c r="Z539" s="2"/>
      <c r="AA539" s="2"/>
      <c r="AB539" s="2"/>
    </row>
    <row r="540" spans="1:28" ht="1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U540" s="2"/>
      <c r="V540" s="2"/>
      <c r="W540" s="2"/>
      <c r="X540" s="2"/>
      <c r="Y540" s="2"/>
      <c r="Z540" s="2"/>
      <c r="AA540" s="2"/>
      <c r="AB540" s="2"/>
    </row>
    <row r="541" spans="1:28" ht="1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U541" s="2"/>
      <c r="V541" s="2"/>
      <c r="W541" s="2"/>
      <c r="X541" s="2"/>
      <c r="Y541" s="2"/>
      <c r="Z541" s="2"/>
      <c r="AA541" s="2"/>
      <c r="AB541" s="2"/>
    </row>
    <row r="542" spans="1:28" ht="1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U542" s="2"/>
      <c r="V542" s="2"/>
      <c r="W542" s="2"/>
      <c r="X542" s="2"/>
      <c r="Y542" s="2"/>
      <c r="Z542" s="2"/>
      <c r="AA542" s="2"/>
      <c r="AB542" s="2"/>
    </row>
    <row r="543" spans="1:28" ht="1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U543" s="2"/>
      <c r="V543" s="2"/>
      <c r="W543" s="2"/>
      <c r="X543" s="2"/>
      <c r="Y543" s="2"/>
      <c r="Z543" s="2"/>
      <c r="AA543" s="2"/>
      <c r="AB543" s="2"/>
    </row>
    <row r="544" spans="1:28" ht="1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U544" s="2"/>
      <c r="V544" s="2"/>
      <c r="W544" s="2"/>
      <c r="X544" s="2"/>
      <c r="Y544" s="2"/>
      <c r="Z544" s="2"/>
      <c r="AA544" s="2"/>
      <c r="AB544" s="2"/>
    </row>
    <row r="545" spans="1:28" ht="1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U545" s="2"/>
      <c r="V545" s="2"/>
      <c r="W545" s="2"/>
      <c r="X545" s="2"/>
      <c r="Y545" s="2"/>
      <c r="Z545" s="2"/>
      <c r="AA545" s="2"/>
      <c r="AB545" s="2"/>
    </row>
    <row r="546" spans="1:28" ht="1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U546" s="2"/>
      <c r="V546" s="2"/>
      <c r="W546" s="2"/>
      <c r="X546" s="2"/>
      <c r="Y546" s="2"/>
      <c r="Z546" s="2"/>
      <c r="AA546" s="2"/>
      <c r="AB546" s="2"/>
    </row>
    <row r="547" spans="1:28" ht="1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U547" s="2"/>
      <c r="V547" s="2"/>
      <c r="W547" s="2"/>
      <c r="X547" s="2"/>
      <c r="Y547" s="2"/>
      <c r="Z547" s="2"/>
      <c r="AA547" s="2"/>
      <c r="AB547" s="2"/>
    </row>
    <row r="548" spans="1:28" ht="1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U548" s="2"/>
      <c r="V548" s="2"/>
      <c r="W548" s="2"/>
      <c r="X548" s="2"/>
      <c r="Y548" s="2"/>
      <c r="Z548" s="2"/>
      <c r="AA548" s="2"/>
      <c r="AB548" s="2"/>
    </row>
    <row r="549" spans="1:28" ht="1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U549" s="2"/>
      <c r="V549" s="2"/>
      <c r="W549" s="2"/>
      <c r="X549" s="2"/>
      <c r="Y549" s="2"/>
      <c r="Z549" s="2"/>
      <c r="AA549" s="2"/>
      <c r="AB549" s="2"/>
    </row>
    <row r="550" spans="1:28" ht="1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U550" s="2"/>
      <c r="V550" s="2"/>
      <c r="W550" s="2"/>
      <c r="X550" s="2"/>
      <c r="Y550" s="2"/>
      <c r="Z550" s="2"/>
      <c r="AA550" s="2"/>
      <c r="AB550" s="2"/>
    </row>
    <row r="551" spans="1:28" ht="1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U551" s="2"/>
      <c r="V551" s="2"/>
      <c r="W551" s="2"/>
      <c r="X551" s="2"/>
      <c r="Y551" s="2"/>
      <c r="Z551" s="2"/>
      <c r="AA551" s="2"/>
      <c r="AB551" s="2"/>
    </row>
    <row r="552" spans="1:28" ht="1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U552" s="2"/>
      <c r="V552" s="2"/>
      <c r="W552" s="2"/>
      <c r="X552" s="2"/>
      <c r="Y552" s="2"/>
      <c r="Z552" s="2"/>
      <c r="AA552" s="2"/>
      <c r="AB552" s="2"/>
    </row>
    <row r="553" spans="1:28" ht="1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U553" s="2"/>
      <c r="V553" s="2"/>
      <c r="W553" s="2"/>
      <c r="X553" s="2"/>
      <c r="Y553" s="2"/>
      <c r="Z553" s="2"/>
      <c r="AA553" s="2"/>
      <c r="AB553" s="2"/>
    </row>
    <row r="554" spans="1:28" ht="1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U554" s="2"/>
      <c r="V554" s="2"/>
      <c r="W554" s="2"/>
      <c r="X554" s="2"/>
      <c r="Y554" s="2"/>
      <c r="Z554" s="2"/>
      <c r="AA554" s="2"/>
      <c r="AB554" s="2"/>
    </row>
    <row r="555" spans="1:28" ht="1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U555" s="2"/>
      <c r="V555" s="2"/>
      <c r="W555" s="2"/>
      <c r="X555" s="2"/>
      <c r="Y555" s="2"/>
      <c r="Z555" s="2"/>
      <c r="AA555" s="2"/>
      <c r="AB555" s="2"/>
    </row>
    <row r="556" spans="1:28" ht="1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U556" s="2"/>
      <c r="V556" s="2"/>
      <c r="W556" s="2"/>
      <c r="X556" s="2"/>
      <c r="Y556" s="2"/>
      <c r="Z556" s="2"/>
      <c r="AA556" s="2"/>
      <c r="AB556" s="2"/>
    </row>
    <row r="557" spans="1:28" ht="1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U557" s="2"/>
      <c r="V557" s="2"/>
      <c r="W557" s="2"/>
      <c r="X557" s="2"/>
      <c r="Y557" s="2"/>
      <c r="Z557" s="2"/>
      <c r="AA557" s="2"/>
      <c r="AB557" s="2"/>
    </row>
    <row r="558" spans="1:28" ht="1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U558" s="2"/>
      <c r="V558" s="2"/>
      <c r="W558" s="2"/>
      <c r="X558" s="2"/>
      <c r="Y558" s="2"/>
      <c r="Z558" s="2"/>
      <c r="AA558" s="2"/>
      <c r="AB558" s="2"/>
    </row>
    <row r="559" spans="1:28" ht="1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U559" s="2"/>
      <c r="V559" s="2"/>
      <c r="W559" s="2"/>
      <c r="X559" s="2"/>
      <c r="Y559" s="2"/>
      <c r="Z559" s="2"/>
      <c r="AA559" s="2"/>
      <c r="AB559" s="2"/>
    </row>
    <row r="560" spans="1:28" ht="1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U560" s="2"/>
      <c r="V560" s="2"/>
      <c r="W560" s="2"/>
      <c r="X560" s="2"/>
      <c r="Y560" s="2"/>
      <c r="Z560" s="2"/>
      <c r="AA560" s="2"/>
      <c r="AB560" s="2"/>
    </row>
    <row r="561" spans="1:28" ht="1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U561" s="2"/>
      <c r="V561" s="2"/>
      <c r="W561" s="2"/>
      <c r="X561" s="2"/>
      <c r="Y561" s="2"/>
      <c r="Z561" s="2"/>
      <c r="AA561" s="2"/>
      <c r="AB561" s="2"/>
    </row>
    <row r="562" spans="1:28" ht="1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U562" s="2"/>
      <c r="V562" s="2"/>
      <c r="W562" s="2"/>
      <c r="X562" s="2"/>
      <c r="Y562" s="2"/>
      <c r="Z562" s="2"/>
      <c r="AA562" s="2"/>
      <c r="AB562" s="2"/>
    </row>
    <row r="563" spans="1:28" ht="1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U563" s="2"/>
      <c r="V563" s="2"/>
      <c r="W563" s="2"/>
      <c r="X563" s="2"/>
      <c r="Y563" s="2"/>
      <c r="Z563" s="2"/>
      <c r="AA563" s="2"/>
      <c r="AB563" s="2"/>
    </row>
    <row r="564" spans="1:28" ht="1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U564" s="2"/>
      <c r="V564" s="2"/>
      <c r="W564" s="2"/>
      <c r="X564" s="2"/>
      <c r="Y564" s="2"/>
      <c r="Z564" s="2"/>
      <c r="AA564" s="2"/>
      <c r="AB564" s="2"/>
    </row>
    <row r="565" spans="1:28" ht="1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U565" s="2"/>
      <c r="V565" s="2"/>
      <c r="W565" s="2"/>
      <c r="X565" s="2"/>
      <c r="Y565" s="2"/>
      <c r="Z565" s="2"/>
      <c r="AA565" s="2"/>
      <c r="AB565" s="2"/>
    </row>
    <row r="566" spans="1:28" ht="1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U566" s="2"/>
      <c r="V566" s="2"/>
      <c r="W566" s="2"/>
      <c r="X566" s="2"/>
      <c r="Y566" s="2"/>
      <c r="Z566" s="2"/>
      <c r="AA566" s="2"/>
      <c r="AB566" s="2"/>
    </row>
    <row r="567" spans="1:28" ht="1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U567" s="2"/>
      <c r="V567" s="2"/>
      <c r="W567" s="2"/>
      <c r="X567" s="2"/>
      <c r="Y567" s="2"/>
      <c r="Z567" s="2"/>
      <c r="AA567" s="2"/>
      <c r="AB567" s="2"/>
    </row>
    <row r="568" spans="1:28" ht="1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U568" s="2"/>
      <c r="V568" s="2"/>
      <c r="W568" s="2"/>
      <c r="X568" s="2"/>
      <c r="Y568" s="2"/>
      <c r="Z568" s="2"/>
      <c r="AA568" s="2"/>
      <c r="AB568" s="2"/>
    </row>
    <row r="569" spans="1:28" ht="1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U569" s="2"/>
      <c r="V569" s="2"/>
      <c r="W569" s="2"/>
      <c r="X569" s="2"/>
      <c r="Y569" s="2"/>
      <c r="Z569" s="2"/>
      <c r="AA569" s="2"/>
      <c r="AB569" s="2"/>
    </row>
    <row r="570" spans="1:28" ht="1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U570" s="2"/>
      <c r="V570" s="2"/>
      <c r="W570" s="2"/>
      <c r="X570" s="2"/>
      <c r="Y570" s="2"/>
      <c r="Z570" s="2"/>
      <c r="AA570" s="2"/>
      <c r="AB570" s="2"/>
    </row>
    <row r="571" spans="1:28" ht="1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U571" s="2"/>
      <c r="V571" s="2"/>
      <c r="W571" s="2"/>
      <c r="X571" s="2"/>
      <c r="Y571" s="2"/>
      <c r="Z571" s="2"/>
      <c r="AA571" s="2"/>
      <c r="AB571" s="2"/>
    </row>
    <row r="572" spans="1:28" ht="1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U572" s="2"/>
      <c r="V572" s="2"/>
      <c r="W572" s="2"/>
      <c r="X572" s="2"/>
      <c r="Y572" s="2"/>
      <c r="Z572" s="2"/>
      <c r="AA572" s="2"/>
      <c r="AB572" s="2"/>
    </row>
    <row r="573" spans="1:28" ht="1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U573" s="2"/>
      <c r="V573" s="2"/>
      <c r="W573" s="2"/>
      <c r="X573" s="2"/>
      <c r="Y573" s="2"/>
      <c r="Z573" s="2"/>
      <c r="AA573" s="2"/>
      <c r="AB573" s="2"/>
    </row>
    <row r="574" spans="1:28" ht="1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U574" s="2"/>
      <c r="V574" s="2"/>
      <c r="W574" s="2"/>
      <c r="X574" s="2"/>
      <c r="Y574" s="2"/>
      <c r="Z574" s="2"/>
      <c r="AA574" s="2"/>
      <c r="AB574" s="2"/>
    </row>
    <row r="575" spans="1:28" ht="1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U575" s="2"/>
      <c r="V575" s="2"/>
      <c r="W575" s="2"/>
      <c r="X575" s="2"/>
      <c r="Y575" s="2"/>
      <c r="Z575" s="2"/>
      <c r="AA575" s="2"/>
      <c r="AB575" s="2"/>
    </row>
    <row r="576" spans="1:28" ht="1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U576" s="2"/>
      <c r="V576" s="2"/>
      <c r="W576" s="2"/>
      <c r="X576" s="2"/>
      <c r="Y576" s="2"/>
      <c r="Z576" s="2"/>
      <c r="AA576" s="2"/>
      <c r="AB576" s="2"/>
    </row>
    <row r="577" spans="1:28" ht="1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U577" s="2"/>
      <c r="V577" s="2"/>
      <c r="W577" s="2"/>
      <c r="X577" s="2"/>
      <c r="Y577" s="2"/>
      <c r="Z577" s="2"/>
      <c r="AA577" s="2"/>
      <c r="AB577" s="2"/>
    </row>
    <row r="578" spans="1:28" ht="1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U578" s="2"/>
      <c r="V578" s="2"/>
      <c r="W578" s="2"/>
      <c r="X578" s="2"/>
      <c r="Y578" s="2"/>
      <c r="Z578" s="2"/>
      <c r="AA578" s="2"/>
      <c r="AB578" s="2"/>
    </row>
    <row r="579" spans="1:28" ht="1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U579" s="2"/>
      <c r="V579" s="2"/>
      <c r="W579" s="2"/>
      <c r="X579" s="2"/>
      <c r="Y579" s="2"/>
      <c r="Z579" s="2"/>
      <c r="AA579" s="2"/>
      <c r="AB579" s="2"/>
    </row>
    <row r="580" spans="1:28" ht="1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U580" s="2"/>
      <c r="V580" s="2"/>
      <c r="W580" s="2"/>
      <c r="X580" s="2"/>
      <c r="Y580" s="2"/>
      <c r="Z580" s="2"/>
      <c r="AA580" s="2"/>
      <c r="AB580" s="2"/>
    </row>
    <row r="581" spans="1:28" ht="1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U581" s="2"/>
      <c r="V581" s="2"/>
      <c r="W581" s="2"/>
      <c r="X581" s="2"/>
      <c r="Y581" s="2"/>
      <c r="Z581" s="2"/>
      <c r="AA581" s="2"/>
      <c r="AB581" s="2"/>
    </row>
    <row r="582" spans="1:28" ht="1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U582" s="2"/>
      <c r="V582" s="2"/>
      <c r="W582" s="2"/>
      <c r="X582" s="2"/>
      <c r="Y582" s="2"/>
      <c r="Z582" s="2"/>
      <c r="AA582" s="2"/>
      <c r="AB582" s="2"/>
    </row>
    <row r="583" spans="1:28" ht="1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U583" s="2"/>
      <c r="V583" s="2"/>
      <c r="W583" s="2"/>
      <c r="X583" s="2"/>
      <c r="Y583" s="2"/>
      <c r="Z583" s="2"/>
      <c r="AA583" s="2"/>
      <c r="AB583" s="2"/>
    </row>
    <row r="584" spans="1:28" ht="1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U584" s="2"/>
      <c r="V584" s="2"/>
      <c r="W584" s="2"/>
      <c r="X584" s="2"/>
      <c r="Y584" s="2"/>
      <c r="Z584" s="2"/>
      <c r="AA584" s="2"/>
      <c r="AB584" s="2"/>
    </row>
    <row r="585" spans="1:28" ht="1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U585" s="2"/>
      <c r="V585" s="2"/>
      <c r="W585" s="2"/>
      <c r="X585" s="2"/>
      <c r="Y585" s="2"/>
      <c r="Z585" s="2"/>
      <c r="AA585" s="2"/>
      <c r="AB585" s="2"/>
    </row>
    <row r="586" spans="1:28" ht="1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U586" s="2"/>
      <c r="V586" s="2"/>
      <c r="W586" s="2"/>
      <c r="X586" s="2"/>
      <c r="Y586" s="2"/>
      <c r="Z586" s="2"/>
      <c r="AA586" s="2"/>
      <c r="AB586" s="2"/>
    </row>
    <row r="587" spans="1:28" ht="1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U587" s="2"/>
      <c r="V587" s="2"/>
      <c r="W587" s="2"/>
      <c r="X587" s="2"/>
      <c r="Y587" s="2"/>
      <c r="Z587" s="2"/>
      <c r="AA587" s="2"/>
      <c r="AB587" s="2"/>
    </row>
    <row r="588" spans="1:28" ht="1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U588" s="2"/>
      <c r="V588" s="2"/>
      <c r="W588" s="2"/>
      <c r="X588" s="2"/>
      <c r="Y588" s="2"/>
      <c r="Z588" s="2"/>
      <c r="AA588" s="2"/>
      <c r="AB588" s="2"/>
    </row>
    <row r="589" spans="1:28" ht="1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U589" s="2"/>
      <c r="V589" s="2"/>
      <c r="W589" s="2"/>
      <c r="X589" s="2"/>
      <c r="Y589" s="2"/>
      <c r="Z589" s="2"/>
      <c r="AA589" s="2"/>
      <c r="AB589" s="2"/>
    </row>
    <row r="590" spans="1:28" ht="1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U590" s="2"/>
      <c r="V590" s="2"/>
      <c r="W590" s="2"/>
      <c r="X590" s="2"/>
      <c r="Y590" s="2"/>
      <c r="Z590" s="2"/>
      <c r="AA590" s="2"/>
      <c r="AB590" s="2"/>
    </row>
    <row r="591" spans="1:28" ht="1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U591" s="2"/>
      <c r="V591" s="2"/>
      <c r="W591" s="2"/>
      <c r="X591" s="2"/>
      <c r="Y591" s="2"/>
      <c r="Z591" s="2"/>
      <c r="AA591" s="2"/>
      <c r="AB591" s="2"/>
    </row>
    <row r="592" spans="1:28" ht="1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U592" s="2"/>
      <c r="V592" s="2"/>
      <c r="W592" s="2"/>
      <c r="X592" s="2"/>
      <c r="Y592" s="2"/>
      <c r="Z592" s="2"/>
      <c r="AA592" s="2"/>
      <c r="AB592" s="2"/>
    </row>
    <row r="593" spans="1:28" ht="1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U593" s="2"/>
      <c r="V593" s="2"/>
      <c r="W593" s="2"/>
      <c r="X593" s="2"/>
      <c r="Y593" s="2"/>
      <c r="Z593" s="2"/>
      <c r="AA593" s="2"/>
      <c r="AB593" s="2"/>
    </row>
    <row r="594" spans="1:28" ht="1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U594" s="2"/>
      <c r="V594" s="2"/>
      <c r="W594" s="2"/>
      <c r="X594" s="2"/>
      <c r="Y594" s="2"/>
      <c r="Z594" s="2"/>
      <c r="AA594" s="2"/>
      <c r="AB594" s="2"/>
    </row>
    <row r="595" spans="1:28" ht="1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U595" s="2"/>
      <c r="V595" s="2"/>
      <c r="W595" s="2"/>
      <c r="X595" s="2"/>
      <c r="Y595" s="2"/>
      <c r="Z595" s="2"/>
      <c r="AA595" s="2"/>
      <c r="AB595" s="2"/>
    </row>
    <row r="596" spans="1:28" ht="1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U596" s="2"/>
      <c r="V596" s="2"/>
      <c r="W596" s="2"/>
      <c r="X596" s="2"/>
      <c r="Y596" s="2"/>
      <c r="Z596" s="2"/>
      <c r="AA596" s="2"/>
      <c r="AB596" s="2"/>
    </row>
    <row r="597" spans="1:28" ht="1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U597" s="2"/>
      <c r="V597" s="2"/>
      <c r="W597" s="2"/>
      <c r="X597" s="2"/>
      <c r="Y597" s="2"/>
      <c r="Z597" s="2"/>
      <c r="AA597" s="2"/>
      <c r="AB597" s="2"/>
    </row>
    <row r="598" spans="1:28" ht="1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U598" s="2"/>
      <c r="V598" s="2"/>
      <c r="W598" s="2"/>
      <c r="X598" s="2"/>
      <c r="Y598" s="2"/>
      <c r="Z598" s="2"/>
      <c r="AA598" s="2"/>
      <c r="AB598" s="2"/>
    </row>
    <row r="599" spans="1:28" ht="1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U599" s="2"/>
      <c r="V599" s="2"/>
      <c r="W599" s="2"/>
      <c r="X599" s="2"/>
      <c r="Y599" s="2"/>
      <c r="Z599" s="2"/>
      <c r="AA599" s="2"/>
      <c r="AB599" s="2"/>
    </row>
    <row r="600" spans="1:28" ht="1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U600" s="2"/>
      <c r="V600" s="2"/>
      <c r="W600" s="2"/>
      <c r="X600" s="2"/>
      <c r="Y600" s="2"/>
      <c r="Z600" s="2"/>
      <c r="AA600" s="2"/>
      <c r="AB600" s="2"/>
    </row>
    <row r="601" spans="1:28" ht="1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U601" s="2"/>
      <c r="V601" s="2"/>
      <c r="W601" s="2"/>
      <c r="X601" s="2"/>
      <c r="Y601" s="2"/>
      <c r="Z601" s="2"/>
      <c r="AA601" s="2"/>
      <c r="AB601" s="2"/>
    </row>
    <row r="602" spans="1:28" ht="1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U602" s="2"/>
      <c r="V602" s="2"/>
      <c r="W602" s="2"/>
      <c r="X602" s="2"/>
      <c r="Y602" s="2"/>
      <c r="Z602" s="2"/>
      <c r="AA602" s="2"/>
      <c r="AB602" s="2"/>
    </row>
    <row r="603" spans="1:28" ht="1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U603" s="2"/>
      <c r="V603" s="2"/>
      <c r="W603" s="2"/>
      <c r="X603" s="2"/>
      <c r="Y603" s="2"/>
      <c r="Z603" s="2"/>
      <c r="AA603" s="2"/>
      <c r="AB603" s="2"/>
    </row>
    <row r="604" spans="1:28" ht="1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U604" s="2"/>
      <c r="V604" s="2"/>
      <c r="W604" s="2"/>
      <c r="X604" s="2"/>
      <c r="Y604" s="2"/>
      <c r="Z604" s="2"/>
      <c r="AA604" s="2"/>
      <c r="AB604" s="2"/>
    </row>
    <row r="605" spans="1:28" ht="1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U605" s="2"/>
      <c r="V605" s="2"/>
      <c r="W605" s="2"/>
      <c r="X605" s="2"/>
      <c r="Y605" s="2"/>
      <c r="Z605" s="2"/>
      <c r="AA605" s="2"/>
      <c r="AB605" s="2"/>
    </row>
    <row r="606" spans="1:28" ht="1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U606" s="2"/>
      <c r="V606" s="2"/>
      <c r="W606" s="2"/>
      <c r="X606" s="2"/>
      <c r="Y606" s="2"/>
      <c r="Z606" s="2"/>
      <c r="AA606" s="2"/>
      <c r="AB606" s="2"/>
    </row>
    <row r="607" spans="1:28" ht="1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U607" s="2"/>
      <c r="V607" s="2"/>
      <c r="W607" s="2"/>
      <c r="X607" s="2"/>
      <c r="Y607" s="2"/>
      <c r="Z607" s="2"/>
      <c r="AA607" s="2"/>
      <c r="AB607" s="2"/>
    </row>
    <row r="608" spans="1:28" ht="1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U608" s="2"/>
      <c r="V608" s="2"/>
      <c r="W608" s="2"/>
      <c r="X608" s="2"/>
      <c r="Y608" s="2"/>
      <c r="Z608" s="2"/>
      <c r="AA608" s="2"/>
      <c r="AB608" s="2"/>
    </row>
    <row r="609" spans="1:28" ht="1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U609" s="2"/>
      <c r="V609" s="2"/>
      <c r="W609" s="2"/>
      <c r="X609" s="2"/>
      <c r="Y609" s="2"/>
      <c r="Z609" s="2"/>
      <c r="AA609" s="2"/>
      <c r="AB609" s="2"/>
    </row>
    <row r="610" spans="1:28" ht="1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U610" s="2"/>
      <c r="V610" s="2"/>
      <c r="W610" s="2"/>
      <c r="X610" s="2"/>
      <c r="Y610" s="2"/>
      <c r="Z610" s="2"/>
      <c r="AA610" s="2"/>
      <c r="AB610" s="2"/>
    </row>
    <row r="611" spans="1:28" ht="1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U611" s="2"/>
      <c r="V611" s="2"/>
      <c r="W611" s="2"/>
      <c r="X611" s="2"/>
      <c r="Y611" s="2"/>
      <c r="Z611" s="2"/>
      <c r="AA611" s="2"/>
      <c r="AB611" s="2"/>
    </row>
    <row r="612" spans="1:28" ht="1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U612" s="2"/>
      <c r="V612" s="2"/>
      <c r="W612" s="2"/>
      <c r="X612" s="2"/>
      <c r="Y612" s="2"/>
      <c r="Z612" s="2"/>
      <c r="AA612" s="2"/>
      <c r="AB612" s="2"/>
    </row>
    <row r="613" spans="1:28" ht="1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U613" s="2"/>
      <c r="V613" s="2"/>
      <c r="W613" s="2"/>
      <c r="X613" s="2"/>
      <c r="Y613" s="2"/>
      <c r="Z613" s="2"/>
      <c r="AA613" s="2"/>
      <c r="AB613" s="2"/>
    </row>
    <row r="614" spans="1:28" ht="1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U614" s="2"/>
      <c r="V614" s="2"/>
      <c r="W614" s="2"/>
      <c r="X614" s="2"/>
      <c r="Y614" s="2"/>
      <c r="Z614" s="2"/>
      <c r="AA614" s="2"/>
      <c r="AB614" s="2"/>
    </row>
    <row r="615" spans="1:28" ht="1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U615" s="2"/>
      <c r="V615" s="2"/>
      <c r="W615" s="2"/>
      <c r="X615" s="2"/>
      <c r="Y615" s="2"/>
      <c r="Z615" s="2"/>
      <c r="AA615" s="2"/>
      <c r="AB615" s="2"/>
    </row>
    <row r="616" spans="1:28" ht="1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U616" s="2"/>
      <c r="V616" s="2"/>
      <c r="W616" s="2"/>
      <c r="X616" s="2"/>
      <c r="Y616" s="2"/>
      <c r="Z616" s="2"/>
      <c r="AA616" s="2"/>
      <c r="AB616" s="2"/>
    </row>
    <row r="617" spans="1:28" ht="1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U617" s="2"/>
      <c r="V617" s="2"/>
      <c r="W617" s="2"/>
      <c r="X617" s="2"/>
      <c r="Y617" s="2"/>
      <c r="Z617" s="2"/>
      <c r="AA617" s="2"/>
      <c r="AB617" s="2"/>
    </row>
    <row r="618" spans="1:28" ht="1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U618" s="2"/>
      <c r="V618" s="2"/>
      <c r="W618" s="2"/>
      <c r="X618" s="2"/>
      <c r="Y618" s="2"/>
      <c r="Z618" s="2"/>
      <c r="AA618" s="2"/>
      <c r="AB618" s="2"/>
    </row>
    <row r="619" spans="1:28" ht="1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U619" s="2"/>
      <c r="V619" s="2"/>
      <c r="W619" s="2"/>
      <c r="X619" s="2"/>
      <c r="Y619" s="2"/>
      <c r="Z619" s="2"/>
      <c r="AA619" s="2"/>
      <c r="AB619" s="2"/>
    </row>
    <row r="620" spans="1:28" ht="1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U620" s="2"/>
      <c r="V620" s="2"/>
      <c r="W620" s="2"/>
      <c r="X620" s="2"/>
      <c r="Y620" s="2"/>
      <c r="Z620" s="2"/>
      <c r="AA620" s="2"/>
      <c r="AB620" s="2"/>
    </row>
    <row r="621" spans="1:28" ht="1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U621" s="2"/>
      <c r="V621" s="2"/>
      <c r="W621" s="2"/>
      <c r="X621" s="2"/>
      <c r="Y621" s="2"/>
      <c r="Z621" s="2"/>
      <c r="AA621" s="2"/>
      <c r="AB621" s="2"/>
    </row>
    <row r="622" spans="1:28" ht="1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U622" s="2"/>
      <c r="V622" s="2"/>
      <c r="W622" s="2"/>
      <c r="X622" s="2"/>
      <c r="Y622" s="2"/>
      <c r="Z622" s="2"/>
      <c r="AA622" s="2"/>
      <c r="AB622" s="2"/>
    </row>
    <row r="623" spans="1:28" ht="1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U623" s="2"/>
      <c r="V623" s="2"/>
      <c r="W623" s="2"/>
      <c r="X623" s="2"/>
      <c r="Y623" s="2"/>
      <c r="Z623" s="2"/>
      <c r="AA623" s="2"/>
      <c r="AB623" s="2"/>
    </row>
    <row r="624" spans="1:28" ht="1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U624" s="2"/>
      <c r="V624" s="2"/>
      <c r="W624" s="2"/>
      <c r="X624" s="2"/>
      <c r="Y624" s="2"/>
      <c r="Z624" s="2"/>
      <c r="AA624" s="2"/>
      <c r="AB624" s="2"/>
    </row>
    <row r="625" spans="1:28" ht="1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U625" s="2"/>
      <c r="V625" s="2"/>
      <c r="W625" s="2"/>
      <c r="X625" s="2"/>
      <c r="Y625" s="2"/>
      <c r="Z625" s="2"/>
      <c r="AA625" s="2"/>
      <c r="AB625" s="2"/>
    </row>
    <row r="626" spans="1:28" ht="1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U626" s="2"/>
      <c r="V626" s="2"/>
      <c r="W626" s="2"/>
      <c r="X626" s="2"/>
      <c r="Y626" s="2"/>
      <c r="Z626" s="2"/>
      <c r="AA626" s="2"/>
      <c r="AB626" s="2"/>
    </row>
    <row r="627" spans="1:28" ht="1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U627" s="2"/>
      <c r="V627" s="2"/>
      <c r="W627" s="2"/>
      <c r="X627" s="2"/>
      <c r="Y627" s="2"/>
      <c r="Z627" s="2"/>
      <c r="AA627" s="2"/>
      <c r="AB627" s="2"/>
    </row>
    <row r="628" spans="1:28" ht="1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U628" s="2"/>
      <c r="V628" s="2"/>
      <c r="W628" s="2"/>
      <c r="X628" s="2"/>
      <c r="Y628" s="2"/>
      <c r="Z628" s="2"/>
      <c r="AA628" s="2"/>
      <c r="AB628" s="2"/>
    </row>
    <row r="629" spans="1:28" ht="1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U629" s="2"/>
      <c r="V629" s="2"/>
      <c r="W629" s="2"/>
      <c r="X629" s="2"/>
      <c r="Y629" s="2"/>
      <c r="Z629" s="2"/>
      <c r="AA629" s="2"/>
      <c r="AB629" s="2"/>
    </row>
    <row r="630" spans="1:28" ht="1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U630" s="2"/>
      <c r="V630" s="2"/>
      <c r="W630" s="2"/>
      <c r="X630" s="2"/>
      <c r="Y630" s="2"/>
      <c r="Z630" s="2"/>
      <c r="AA630" s="2"/>
      <c r="AB630" s="2"/>
    </row>
    <row r="631" spans="1:28" ht="1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U631" s="2"/>
      <c r="V631" s="2"/>
      <c r="W631" s="2"/>
      <c r="X631" s="2"/>
      <c r="Y631" s="2"/>
      <c r="Z631" s="2"/>
      <c r="AA631" s="2"/>
      <c r="AB631" s="2"/>
    </row>
    <row r="632" spans="1:28" ht="1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U632" s="2"/>
      <c r="V632" s="2"/>
      <c r="W632" s="2"/>
      <c r="X632" s="2"/>
      <c r="Y632" s="2"/>
      <c r="Z632" s="2"/>
      <c r="AA632" s="2"/>
      <c r="AB632" s="2"/>
    </row>
    <row r="633" spans="1:28" ht="1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U633" s="2"/>
      <c r="V633" s="2"/>
      <c r="W633" s="2"/>
      <c r="X633" s="2"/>
      <c r="Y633" s="2"/>
      <c r="Z633" s="2"/>
      <c r="AA633" s="2"/>
      <c r="AB633" s="2"/>
    </row>
    <row r="634" spans="1:28" ht="1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U634" s="2"/>
      <c r="V634" s="2"/>
      <c r="W634" s="2"/>
      <c r="X634" s="2"/>
      <c r="Y634" s="2"/>
      <c r="Z634" s="2"/>
      <c r="AA634" s="2"/>
      <c r="AB634" s="2"/>
    </row>
    <row r="635" spans="1:28" ht="1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U635" s="2"/>
      <c r="V635" s="2"/>
      <c r="W635" s="2"/>
      <c r="X635" s="2"/>
      <c r="Y635" s="2"/>
      <c r="Z635" s="2"/>
      <c r="AA635" s="2"/>
      <c r="AB635" s="2"/>
    </row>
    <row r="636" spans="1:28" ht="1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U636" s="2"/>
      <c r="V636" s="2"/>
      <c r="W636" s="2"/>
      <c r="X636" s="2"/>
      <c r="Y636" s="2"/>
      <c r="Z636" s="2"/>
      <c r="AA636" s="2"/>
      <c r="AB636" s="2"/>
    </row>
    <row r="637" spans="1:28" ht="1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U637" s="2"/>
      <c r="V637" s="2"/>
      <c r="W637" s="2"/>
      <c r="X637" s="2"/>
      <c r="Y637" s="2"/>
      <c r="Z637" s="2"/>
      <c r="AA637" s="2"/>
      <c r="AB637" s="2"/>
    </row>
    <row r="638" spans="1:28" ht="1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U638" s="2"/>
      <c r="V638" s="2"/>
      <c r="W638" s="2"/>
      <c r="X638" s="2"/>
      <c r="Y638" s="2"/>
      <c r="Z638" s="2"/>
      <c r="AA638" s="2"/>
      <c r="AB638" s="2"/>
    </row>
    <row r="639" spans="1:28" ht="1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U639" s="2"/>
      <c r="V639" s="2"/>
      <c r="W639" s="2"/>
      <c r="X639" s="2"/>
      <c r="Y639" s="2"/>
      <c r="Z639" s="2"/>
      <c r="AA639" s="2"/>
      <c r="AB639" s="2"/>
    </row>
    <row r="640" spans="1:28" ht="1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U640" s="2"/>
      <c r="V640" s="2"/>
      <c r="W640" s="2"/>
      <c r="X640" s="2"/>
      <c r="Y640" s="2"/>
      <c r="Z640" s="2"/>
      <c r="AA640" s="2"/>
      <c r="AB640" s="2"/>
    </row>
    <row r="641" spans="1:28" ht="1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U641" s="2"/>
      <c r="V641" s="2"/>
      <c r="W641" s="2"/>
      <c r="X641" s="2"/>
      <c r="Y641" s="2"/>
      <c r="Z641" s="2"/>
      <c r="AA641" s="2"/>
      <c r="AB641" s="2"/>
    </row>
    <row r="642" spans="1:28" ht="1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U642" s="2"/>
      <c r="V642" s="2"/>
      <c r="W642" s="2"/>
      <c r="X642" s="2"/>
      <c r="Y642" s="2"/>
      <c r="Z642" s="2"/>
      <c r="AA642" s="2"/>
      <c r="AB642" s="2"/>
    </row>
    <row r="643" spans="1:28" ht="1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U643" s="2"/>
      <c r="V643" s="2"/>
      <c r="W643" s="2"/>
      <c r="X643" s="2"/>
      <c r="Y643" s="2"/>
      <c r="Z643" s="2"/>
      <c r="AA643" s="2"/>
      <c r="AB643" s="2"/>
    </row>
    <row r="644" spans="1:28" ht="1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U644" s="2"/>
      <c r="V644" s="2"/>
      <c r="W644" s="2"/>
      <c r="X644" s="2"/>
      <c r="Y644" s="2"/>
      <c r="Z644" s="2"/>
      <c r="AA644" s="2"/>
      <c r="AB644" s="2"/>
    </row>
    <row r="645" spans="1:28" ht="1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U645" s="2"/>
      <c r="V645" s="2"/>
      <c r="W645" s="2"/>
      <c r="X645" s="2"/>
      <c r="Y645" s="2"/>
      <c r="Z645" s="2"/>
      <c r="AA645" s="2"/>
      <c r="AB645" s="2"/>
    </row>
    <row r="646" spans="1:28" ht="1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U646" s="2"/>
      <c r="V646" s="2"/>
      <c r="W646" s="2"/>
      <c r="X646" s="2"/>
      <c r="Y646" s="2"/>
      <c r="Z646" s="2"/>
      <c r="AA646" s="2"/>
      <c r="AB646" s="2"/>
    </row>
    <row r="647" spans="1:28" ht="1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U647" s="2"/>
      <c r="V647" s="2"/>
      <c r="W647" s="2"/>
      <c r="X647" s="2"/>
      <c r="Y647" s="2"/>
      <c r="Z647" s="2"/>
      <c r="AA647" s="2"/>
      <c r="AB647" s="2"/>
    </row>
    <row r="648" spans="1:28" ht="1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U648" s="2"/>
      <c r="V648" s="2"/>
      <c r="W648" s="2"/>
      <c r="X648" s="2"/>
      <c r="Y648" s="2"/>
      <c r="Z648" s="2"/>
      <c r="AA648" s="2"/>
      <c r="AB648" s="2"/>
    </row>
    <row r="649" spans="1:28" ht="1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U649" s="2"/>
      <c r="V649" s="2"/>
      <c r="W649" s="2"/>
      <c r="X649" s="2"/>
      <c r="Y649" s="2"/>
      <c r="Z649" s="2"/>
      <c r="AA649" s="2"/>
      <c r="AB649" s="2"/>
    </row>
    <row r="650" spans="1:28" ht="1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U650" s="2"/>
      <c r="V650" s="2"/>
      <c r="W650" s="2"/>
      <c r="X650" s="2"/>
      <c r="Y650" s="2"/>
      <c r="Z650" s="2"/>
      <c r="AA650" s="2"/>
      <c r="AB650" s="2"/>
    </row>
    <row r="651" spans="1:28" ht="1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U651" s="2"/>
      <c r="V651" s="2"/>
      <c r="W651" s="2"/>
      <c r="X651" s="2"/>
      <c r="Y651" s="2"/>
      <c r="Z651" s="2"/>
      <c r="AA651" s="2"/>
      <c r="AB651" s="2"/>
    </row>
    <row r="652" spans="1:28" ht="1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U652" s="2"/>
      <c r="V652" s="2"/>
      <c r="W652" s="2"/>
      <c r="X652" s="2"/>
      <c r="Y652" s="2"/>
      <c r="Z652" s="2"/>
      <c r="AA652" s="2"/>
      <c r="AB652" s="2"/>
    </row>
    <row r="653" spans="1:28" ht="1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U653" s="2"/>
      <c r="V653" s="2"/>
      <c r="W653" s="2"/>
      <c r="X653" s="2"/>
      <c r="Y653" s="2"/>
      <c r="Z653" s="2"/>
      <c r="AA653" s="2"/>
      <c r="AB653" s="2"/>
    </row>
    <row r="654" spans="1:28" ht="1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U654" s="2"/>
      <c r="V654" s="2"/>
      <c r="W654" s="2"/>
      <c r="X654" s="2"/>
      <c r="Y654" s="2"/>
      <c r="Z654" s="2"/>
      <c r="AA654" s="2"/>
      <c r="AB654" s="2"/>
    </row>
    <row r="655" spans="1:28" ht="1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U655" s="2"/>
      <c r="V655" s="2"/>
      <c r="W655" s="2"/>
      <c r="X655" s="2"/>
      <c r="Y655" s="2"/>
      <c r="Z655" s="2"/>
      <c r="AA655" s="2"/>
      <c r="AB655" s="2"/>
    </row>
    <row r="656" spans="1:28" ht="1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U656" s="2"/>
      <c r="V656" s="2"/>
      <c r="W656" s="2"/>
      <c r="X656" s="2"/>
      <c r="Y656" s="2"/>
      <c r="Z656" s="2"/>
      <c r="AA656" s="2"/>
      <c r="AB656" s="2"/>
    </row>
    <row r="657" spans="1:28" ht="1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U657" s="2"/>
      <c r="V657" s="2"/>
      <c r="W657" s="2"/>
      <c r="X657" s="2"/>
      <c r="Y657" s="2"/>
      <c r="Z657" s="2"/>
      <c r="AA657" s="2"/>
      <c r="AB657" s="2"/>
    </row>
    <row r="658" spans="1:28" ht="1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U658" s="2"/>
      <c r="V658" s="2"/>
      <c r="W658" s="2"/>
      <c r="X658" s="2"/>
      <c r="Y658" s="2"/>
      <c r="Z658" s="2"/>
      <c r="AA658" s="2"/>
      <c r="AB658" s="2"/>
    </row>
    <row r="659" spans="1:28" ht="1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U659" s="2"/>
      <c r="V659" s="2"/>
      <c r="W659" s="2"/>
      <c r="X659" s="2"/>
      <c r="Y659" s="2"/>
      <c r="Z659" s="2"/>
      <c r="AA659" s="2"/>
      <c r="AB659" s="2"/>
    </row>
    <row r="660" spans="1:28" ht="1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U660" s="2"/>
      <c r="V660" s="2"/>
      <c r="W660" s="2"/>
      <c r="X660" s="2"/>
      <c r="Y660" s="2"/>
      <c r="Z660" s="2"/>
      <c r="AA660" s="2"/>
      <c r="AB660" s="2"/>
    </row>
    <row r="661" spans="1:28" ht="1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U661" s="2"/>
      <c r="V661" s="2"/>
      <c r="W661" s="2"/>
      <c r="X661" s="2"/>
      <c r="Y661" s="2"/>
      <c r="Z661" s="2"/>
      <c r="AA661" s="2"/>
      <c r="AB661" s="2"/>
    </row>
    <row r="662" spans="1:28" ht="1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U662" s="2"/>
      <c r="V662" s="2"/>
      <c r="W662" s="2"/>
      <c r="X662" s="2"/>
      <c r="Y662" s="2"/>
      <c r="Z662" s="2"/>
      <c r="AA662" s="2"/>
      <c r="AB662" s="2"/>
    </row>
    <row r="663" spans="1:28" ht="1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U663" s="2"/>
      <c r="V663" s="2"/>
      <c r="W663" s="2"/>
      <c r="X663" s="2"/>
      <c r="Y663" s="2"/>
      <c r="Z663" s="2"/>
      <c r="AA663" s="2"/>
      <c r="AB663" s="2"/>
    </row>
    <row r="664" spans="1:28" ht="1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U664" s="2"/>
      <c r="V664" s="2"/>
      <c r="W664" s="2"/>
      <c r="X664" s="2"/>
      <c r="Y664" s="2"/>
      <c r="Z664" s="2"/>
      <c r="AA664" s="2"/>
      <c r="AB664" s="2"/>
    </row>
    <row r="665" spans="1:28" ht="1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U665" s="2"/>
      <c r="V665" s="2"/>
      <c r="W665" s="2"/>
      <c r="X665" s="2"/>
      <c r="Y665" s="2"/>
      <c r="Z665" s="2"/>
      <c r="AA665" s="2"/>
      <c r="AB665" s="2"/>
    </row>
    <row r="666" spans="1:28" ht="1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U666" s="2"/>
      <c r="V666" s="2"/>
      <c r="W666" s="2"/>
      <c r="X666" s="2"/>
      <c r="Y666" s="2"/>
      <c r="Z666" s="2"/>
      <c r="AA666" s="2"/>
      <c r="AB666" s="2"/>
    </row>
    <row r="667" spans="1:28" ht="1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U667" s="2"/>
      <c r="V667" s="2"/>
      <c r="W667" s="2"/>
      <c r="X667" s="2"/>
      <c r="Y667" s="2"/>
      <c r="Z667" s="2"/>
      <c r="AA667" s="2"/>
      <c r="AB667" s="2"/>
    </row>
    <row r="668" spans="1:28" ht="1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U668" s="2"/>
      <c r="V668" s="2"/>
      <c r="W668" s="2"/>
      <c r="X668" s="2"/>
      <c r="Y668" s="2"/>
      <c r="Z668" s="2"/>
      <c r="AA668" s="2"/>
      <c r="AB668" s="2"/>
    </row>
    <row r="669" spans="1:28" ht="1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U669" s="2"/>
      <c r="V669" s="2"/>
      <c r="W669" s="2"/>
      <c r="X669" s="2"/>
      <c r="Y669" s="2"/>
      <c r="Z669" s="2"/>
      <c r="AA669" s="2"/>
      <c r="AB669" s="2"/>
    </row>
    <row r="670" spans="1:28" ht="1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U670" s="2"/>
      <c r="V670" s="2"/>
      <c r="W670" s="2"/>
      <c r="X670" s="2"/>
      <c r="Y670" s="2"/>
      <c r="Z670" s="2"/>
      <c r="AA670" s="2"/>
      <c r="AB670" s="2"/>
    </row>
    <row r="671" spans="1:28" ht="1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U671" s="2"/>
      <c r="V671" s="2"/>
      <c r="W671" s="2"/>
      <c r="X671" s="2"/>
      <c r="Y671" s="2"/>
      <c r="Z671" s="2"/>
      <c r="AA671" s="2"/>
      <c r="AB671" s="2"/>
    </row>
    <row r="672" spans="1:28" ht="1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U672" s="2"/>
      <c r="V672" s="2"/>
      <c r="W672" s="2"/>
      <c r="X672" s="2"/>
      <c r="Y672" s="2"/>
      <c r="Z672" s="2"/>
      <c r="AA672" s="2"/>
      <c r="AB672" s="2"/>
    </row>
    <row r="673" spans="1:28" ht="1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U673" s="2"/>
      <c r="V673" s="2"/>
      <c r="W673" s="2"/>
      <c r="X673" s="2"/>
      <c r="Y673" s="2"/>
      <c r="Z673" s="2"/>
      <c r="AA673" s="2"/>
      <c r="AB673" s="2"/>
    </row>
    <row r="674" spans="1:28" ht="1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U674" s="2"/>
      <c r="V674" s="2"/>
      <c r="W674" s="2"/>
      <c r="X674" s="2"/>
      <c r="Y674" s="2"/>
      <c r="Z674" s="2"/>
      <c r="AA674" s="2"/>
      <c r="AB674" s="2"/>
    </row>
    <row r="675" spans="1:28" ht="1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U675" s="2"/>
      <c r="V675" s="2"/>
      <c r="W675" s="2"/>
      <c r="X675" s="2"/>
      <c r="Y675" s="2"/>
      <c r="Z675" s="2"/>
      <c r="AA675" s="2"/>
      <c r="AB675" s="2"/>
    </row>
    <row r="676" spans="1:28" ht="1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U676" s="2"/>
      <c r="V676" s="2"/>
      <c r="W676" s="2"/>
      <c r="X676" s="2"/>
      <c r="Y676" s="2"/>
      <c r="Z676" s="2"/>
      <c r="AA676" s="2"/>
      <c r="AB676" s="2"/>
    </row>
    <row r="677" spans="1:28" ht="1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U677" s="2"/>
      <c r="V677" s="2"/>
      <c r="W677" s="2"/>
      <c r="X677" s="2"/>
      <c r="Y677" s="2"/>
      <c r="Z677" s="2"/>
      <c r="AA677" s="2"/>
      <c r="AB677" s="2"/>
    </row>
    <row r="678" spans="1:28" ht="1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U678" s="2"/>
      <c r="V678" s="2"/>
      <c r="W678" s="2"/>
      <c r="X678" s="2"/>
      <c r="Y678" s="2"/>
      <c r="Z678" s="2"/>
      <c r="AA678" s="2"/>
      <c r="AB678" s="2"/>
    </row>
    <row r="679" spans="1:28" ht="1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U679" s="2"/>
      <c r="V679" s="2"/>
      <c r="W679" s="2"/>
      <c r="X679" s="2"/>
      <c r="Y679" s="2"/>
      <c r="Z679" s="2"/>
      <c r="AA679" s="2"/>
      <c r="AB679" s="2"/>
    </row>
    <row r="680" spans="1:28" ht="1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U680" s="2"/>
      <c r="V680" s="2"/>
      <c r="W680" s="2"/>
      <c r="X680" s="2"/>
      <c r="Y680" s="2"/>
      <c r="Z680" s="2"/>
      <c r="AA680" s="2"/>
      <c r="AB680" s="2"/>
    </row>
    <row r="681" spans="1:28" ht="1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U681" s="2"/>
      <c r="V681" s="2"/>
      <c r="W681" s="2"/>
      <c r="X681" s="2"/>
      <c r="Y681" s="2"/>
      <c r="Z681" s="2"/>
      <c r="AA681" s="2"/>
      <c r="AB681" s="2"/>
    </row>
    <row r="682" spans="1:28" ht="1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U682" s="2"/>
      <c r="V682" s="2"/>
      <c r="W682" s="2"/>
      <c r="X682" s="2"/>
      <c r="Y682" s="2"/>
      <c r="Z682" s="2"/>
      <c r="AA682" s="2"/>
      <c r="AB682" s="2"/>
    </row>
    <row r="683" spans="1:28" ht="1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U683" s="2"/>
      <c r="V683" s="2"/>
      <c r="W683" s="2"/>
      <c r="X683" s="2"/>
      <c r="Y683" s="2"/>
      <c r="Z683" s="2"/>
      <c r="AA683" s="2"/>
      <c r="AB683" s="2"/>
    </row>
    <row r="684" spans="1:28" ht="1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U684" s="2"/>
      <c r="V684" s="2"/>
      <c r="W684" s="2"/>
      <c r="X684" s="2"/>
      <c r="Y684" s="2"/>
      <c r="Z684" s="2"/>
      <c r="AA684" s="2"/>
      <c r="AB684" s="2"/>
    </row>
    <row r="685" spans="1:28" ht="1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U685" s="2"/>
      <c r="V685" s="2"/>
      <c r="W685" s="2"/>
      <c r="X685" s="2"/>
      <c r="Y685" s="2"/>
      <c r="Z685" s="2"/>
      <c r="AA685" s="2"/>
      <c r="AB685" s="2"/>
    </row>
    <row r="686" spans="1:28" ht="1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U686" s="2"/>
      <c r="V686" s="2"/>
      <c r="W686" s="2"/>
      <c r="X686" s="2"/>
      <c r="Y686" s="2"/>
      <c r="Z686" s="2"/>
      <c r="AA686" s="2"/>
      <c r="AB686" s="2"/>
    </row>
    <row r="687" spans="1:28" ht="1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U687" s="2"/>
      <c r="V687" s="2"/>
      <c r="W687" s="2"/>
      <c r="X687" s="2"/>
      <c r="Y687" s="2"/>
      <c r="Z687" s="2"/>
      <c r="AA687" s="2"/>
      <c r="AB687" s="2"/>
    </row>
    <row r="688" spans="1:28" ht="1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U688" s="2"/>
      <c r="V688" s="2"/>
      <c r="W688" s="2"/>
      <c r="X688" s="2"/>
      <c r="Y688" s="2"/>
      <c r="Z688" s="2"/>
      <c r="AA688" s="2"/>
      <c r="AB688" s="2"/>
    </row>
    <row r="689" spans="1:28" ht="1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U689" s="2"/>
      <c r="V689" s="2"/>
      <c r="W689" s="2"/>
      <c r="X689" s="2"/>
      <c r="Y689" s="2"/>
      <c r="Z689" s="2"/>
      <c r="AA689" s="2"/>
      <c r="AB689" s="2"/>
    </row>
    <row r="690" spans="1:28" ht="1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U690" s="2"/>
      <c r="V690" s="2"/>
      <c r="W690" s="2"/>
      <c r="X690" s="2"/>
      <c r="Y690" s="2"/>
      <c r="Z690" s="2"/>
      <c r="AA690" s="2"/>
      <c r="AB690" s="2"/>
    </row>
    <row r="691" spans="1:28" ht="1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U691" s="2"/>
      <c r="V691" s="2"/>
      <c r="W691" s="2"/>
      <c r="X691" s="2"/>
      <c r="Y691" s="2"/>
      <c r="Z691" s="2"/>
      <c r="AA691" s="2"/>
      <c r="AB691" s="2"/>
    </row>
    <row r="692" spans="1:28" ht="1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U692" s="2"/>
      <c r="V692" s="2"/>
      <c r="W692" s="2"/>
      <c r="X692" s="2"/>
      <c r="Y692" s="2"/>
      <c r="Z692" s="2"/>
      <c r="AA692" s="2"/>
      <c r="AB692" s="2"/>
    </row>
    <row r="693" spans="1:28" ht="1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U693" s="2"/>
      <c r="V693" s="2"/>
      <c r="W693" s="2"/>
      <c r="X693" s="2"/>
      <c r="Y693" s="2"/>
      <c r="Z693" s="2"/>
      <c r="AA693" s="2"/>
      <c r="AB693" s="2"/>
    </row>
    <row r="694" spans="1:28" ht="1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U694" s="2"/>
      <c r="V694" s="2"/>
      <c r="W694" s="2"/>
      <c r="X694" s="2"/>
      <c r="Y694" s="2"/>
      <c r="Z694" s="2"/>
      <c r="AA694" s="2"/>
      <c r="AB694" s="2"/>
    </row>
    <row r="695" spans="1:28" ht="1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U695" s="2"/>
      <c r="V695" s="2"/>
      <c r="W695" s="2"/>
      <c r="X695" s="2"/>
      <c r="Y695" s="2"/>
      <c r="Z695" s="2"/>
      <c r="AA695" s="2"/>
      <c r="AB695" s="2"/>
    </row>
    <row r="696" spans="1:28" ht="1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U696" s="2"/>
      <c r="V696" s="2"/>
      <c r="W696" s="2"/>
      <c r="X696" s="2"/>
      <c r="Y696" s="2"/>
      <c r="Z696" s="2"/>
      <c r="AA696" s="2"/>
      <c r="AB696" s="2"/>
    </row>
    <row r="697" spans="1:28" ht="1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U697" s="2"/>
      <c r="V697" s="2"/>
      <c r="W697" s="2"/>
      <c r="X697" s="2"/>
      <c r="Y697" s="2"/>
      <c r="Z697" s="2"/>
      <c r="AA697" s="2"/>
      <c r="AB697" s="2"/>
    </row>
    <row r="698" spans="1:28" ht="1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U698" s="2"/>
      <c r="V698" s="2"/>
      <c r="W698" s="2"/>
      <c r="X698" s="2"/>
      <c r="Y698" s="2"/>
      <c r="Z698" s="2"/>
      <c r="AA698" s="2"/>
      <c r="AB698" s="2"/>
    </row>
    <row r="699" spans="1:28" ht="1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U699" s="2"/>
      <c r="V699" s="2"/>
      <c r="W699" s="2"/>
      <c r="X699" s="2"/>
      <c r="Y699" s="2"/>
      <c r="Z699" s="2"/>
      <c r="AA699" s="2"/>
      <c r="AB699" s="2"/>
    </row>
    <row r="700" spans="1:28" ht="1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U700" s="2"/>
      <c r="V700" s="2"/>
      <c r="W700" s="2"/>
      <c r="X700" s="2"/>
      <c r="Y700" s="2"/>
      <c r="Z700" s="2"/>
      <c r="AA700" s="2"/>
      <c r="AB700" s="2"/>
    </row>
    <row r="701" spans="1:28" ht="1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U701" s="2"/>
      <c r="V701" s="2"/>
      <c r="W701" s="2"/>
      <c r="X701" s="2"/>
      <c r="Y701" s="2"/>
      <c r="Z701" s="2"/>
      <c r="AA701" s="2"/>
      <c r="AB701" s="2"/>
    </row>
    <row r="702" spans="1:28" ht="1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U702" s="2"/>
      <c r="V702" s="2"/>
      <c r="W702" s="2"/>
      <c r="X702" s="2"/>
      <c r="Y702" s="2"/>
      <c r="Z702" s="2"/>
      <c r="AA702" s="2"/>
      <c r="AB702" s="2"/>
    </row>
    <row r="703" spans="1:28" ht="1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U703" s="2"/>
      <c r="V703" s="2"/>
      <c r="W703" s="2"/>
      <c r="X703" s="2"/>
      <c r="Y703" s="2"/>
      <c r="Z703" s="2"/>
      <c r="AA703" s="2"/>
      <c r="AB703" s="2"/>
    </row>
    <row r="704" spans="1:28" ht="1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U704" s="2"/>
      <c r="V704" s="2"/>
      <c r="W704" s="2"/>
      <c r="X704" s="2"/>
      <c r="Y704" s="2"/>
      <c r="Z704" s="2"/>
      <c r="AA704" s="2"/>
      <c r="AB704" s="2"/>
    </row>
    <row r="705" spans="1:28" ht="1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U705" s="2"/>
      <c r="V705" s="2"/>
      <c r="W705" s="2"/>
      <c r="X705" s="2"/>
      <c r="Y705" s="2"/>
      <c r="Z705" s="2"/>
      <c r="AA705" s="2"/>
      <c r="AB705" s="2"/>
    </row>
    <row r="706" spans="1:28" ht="1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U706" s="2"/>
      <c r="V706" s="2"/>
      <c r="W706" s="2"/>
      <c r="X706" s="2"/>
      <c r="Y706" s="2"/>
      <c r="Z706" s="2"/>
      <c r="AA706" s="2"/>
      <c r="AB706" s="2"/>
    </row>
    <row r="707" spans="1:28" ht="1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U707" s="2"/>
      <c r="V707" s="2"/>
      <c r="W707" s="2"/>
      <c r="X707" s="2"/>
      <c r="Y707" s="2"/>
      <c r="Z707" s="2"/>
      <c r="AA707" s="2"/>
      <c r="AB707" s="2"/>
    </row>
    <row r="708" spans="1:28" ht="1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U708" s="2"/>
      <c r="V708" s="2"/>
      <c r="W708" s="2"/>
      <c r="X708" s="2"/>
      <c r="Y708" s="2"/>
      <c r="Z708" s="2"/>
      <c r="AA708" s="2"/>
      <c r="AB708" s="2"/>
    </row>
    <row r="709" spans="1:28" ht="1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U709" s="2"/>
      <c r="V709" s="2"/>
      <c r="W709" s="2"/>
      <c r="X709" s="2"/>
      <c r="Y709" s="2"/>
      <c r="Z709" s="2"/>
      <c r="AA709" s="2"/>
      <c r="AB709" s="2"/>
    </row>
    <row r="710" spans="1:28" ht="1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U710" s="2"/>
      <c r="V710" s="2"/>
      <c r="W710" s="2"/>
      <c r="X710" s="2"/>
      <c r="Y710" s="2"/>
      <c r="Z710" s="2"/>
      <c r="AA710" s="2"/>
      <c r="AB710" s="2"/>
    </row>
    <row r="711" spans="1:28" ht="1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U711" s="2"/>
      <c r="V711" s="2"/>
      <c r="W711" s="2"/>
      <c r="X711" s="2"/>
      <c r="Y711" s="2"/>
      <c r="Z711" s="2"/>
      <c r="AA711" s="2"/>
      <c r="AB711" s="2"/>
    </row>
    <row r="712" spans="1:28" ht="1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U712" s="2"/>
      <c r="V712" s="2"/>
      <c r="W712" s="2"/>
      <c r="X712" s="2"/>
      <c r="Y712" s="2"/>
      <c r="Z712" s="2"/>
      <c r="AA712" s="2"/>
      <c r="AB712" s="2"/>
    </row>
    <row r="713" spans="1:28" ht="1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U713" s="2"/>
      <c r="V713" s="2"/>
      <c r="W713" s="2"/>
      <c r="X713" s="2"/>
      <c r="Y713" s="2"/>
      <c r="Z713" s="2"/>
      <c r="AA713" s="2"/>
      <c r="AB713" s="2"/>
    </row>
    <row r="714" spans="1:28" ht="1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U714" s="2"/>
      <c r="V714" s="2"/>
      <c r="W714" s="2"/>
      <c r="X714" s="2"/>
      <c r="Y714" s="2"/>
      <c r="Z714" s="2"/>
      <c r="AA714" s="2"/>
      <c r="AB714" s="2"/>
    </row>
    <row r="715" spans="1:28" ht="1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U715" s="2"/>
      <c r="V715" s="2"/>
      <c r="W715" s="2"/>
      <c r="X715" s="2"/>
      <c r="Y715" s="2"/>
      <c r="Z715" s="2"/>
      <c r="AA715" s="2"/>
      <c r="AB715" s="2"/>
    </row>
    <row r="716" spans="1:28" ht="1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U716" s="2"/>
      <c r="V716" s="2"/>
      <c r="W716" s="2"/>
      <c r="X716" s="2"/>
      <c r="Y716" s="2"/>
      <c r="Z716" s="2"/>
      <c r="AA716" s="2"/>
      <c r="AB716" s="2"/>
    </row>
    <row r="717" spans="1:28" ht="1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U717" s="2"/>
      <c r="V717" s="2"/>
      <c r="W717" s="2"/>
      <c r="X717" s="2"/>
      <c r="Y717" s="2"/>
      <c r="Z717" s="2"/>
      <c r="AA717" s="2"/>
      <c r="AB717" s="2"/>
    </row>
    <row r="718" spans="1:28" ht="1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U718" s="2"/>
      <c r="V718" s="2"/>
      <c r="W718" s="2"/>
      <c r="X718" s="2"/>
      <c r="Y718" s="2"/>
      <c r="Z718" s="2"/>
      <c r="AA718" s="2"/>
      <c r="AB718" s="2"/>
    </row>
    <row r="719" spans="1:28" ht="1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U719" s="2"/>
      <c r="V719" s="2"/>
      <c r="W719" s="2"/>
      <c r="X719" s="2"/>
      <c r="Y719" s="2"/>
      <c r="Z719" s="2"/>
      <c r="AA719" s="2"/>
      <c r="AB719" s="2"/>
    </row>
    <row r="720" spans="1:28" ht="1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U720" s="2"/>
      <c r="V720" s="2"/>
      <c r="W720" s="2"/>
      <c r="X720" s="2"/>
      <c r="Y720" s="2"/>
      <c r="Z720" s="2"/>
      <c r="AA720" s="2"/>
      <c r="AB720" s="2"/>
    </row>
    <row r="721" spans="1:28" ht="1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U721" s="2"/>
      <c r="V721" s="2"/>
      <c r="W721" s="2"/>
      <c r="X721" s="2"/>
      <c r="Y721" s="2"/>
      <c r="Z721" s="2"/>
      <c r="AA721" s="2"/>
      <c r="AB721" s="2"/>
    </row>
    <row r="722" spans="1:28" ht="1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U722" s="2"/>
      <c r="V722" s="2"/>
      <c r="W722" s="2"/>
      <c r="X722" s="2"/>
      <c r="Y722" s="2"/>
      <c r="Z722" s="2"/>
      <c r="AA722" s="2"/>
      <c r="AB722" s="2"/>
    </row>
    <row r="723" spans="1:28" ht="1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U723" s="2"/>
      <c r="V723" s="2"/>
      <c r="W723" s="2"/>
      <c r="X723" s="2"/>
      <c r="Y723" s="2"/>
      <c r="Z723" s="2"/>
      <c r="AA723" s="2"/>
      <c r="AB723" s="2"/>
    </row>
    <row r="724" spans="1:28" ht="1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U724" s="2"/>
      <c r="V724" s="2"/>
      <c r="W724" s="2"/>
      <c r="X724" s="2"/>
      <c r="Y724" s="2"/>
      <c r="Z724" s="2"/>
      <c r="AA724" s="2"/>
      <c r="AB724" s="2"/>
    </row>
    <row r="725" spans="1:28" ht="1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U725" s="2"/>
      <c r="V725" s="2"/>
      <c r="W725" s="2"/>
      <c r="X725" s="2"/>
      <c r="Y725" s="2"/>
      <c r="Z725" s="2"/>
      <c r="AA725" s="2"/>
      <c r="AB725" s="2"/>
    </row>
    <row r="726" spans="1:28" ht="1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U726" s="2"/>
      <c r="V726" s="2"/>
      <c r="W726" s="2"/>
      <c r="X726" s="2"/>
      <c r="Y726" s="2"/>
      <c r="Z726" s="2"/>
      <c r="AA726" s="2"/>
      <c r="AB726" s="2"/>
    </row>
    <row r="727" spans="1:28" ht="1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U727" s="2"/>
      <c r="V727" s="2"/>
      <c r="W727" s="2"/>
      <c r="X727" s="2"/>
      <c r="Y727" s="2"/>
      <c r="Z727" s="2"/>
      <c r="AA727" s="2"/>
      <c r="AB727" s="2"/>
    </row>
    <row r="728" spans="1:28" ht="1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U728" s="2"/>
      <c r="V728" s="2"/>
      <c r="W728" s="2"/>
      <c r="X728" s="2"/>
      <c r="Y728" s="2"/>
      <c r="Z728" s="2"/>
      <c r="AA728" s="2"/>
      <c r="AB728" s="2"/>
    </row>
    <row r="729" spans="1:28" ht="1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U729" s="2"/>
      <c r="V729" s="2"/>
      <c r="W729" s="2"/>
      <c r="X729" s="2"/>
      <c r="Y729" s="2"/>
      <c r="Z729" s="2"/>
      <c r="AA729" s="2"/>
      <c r="AB729" s="2"/>
    </row>
    <row r="730" spans="1:28" ht="1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U730" s="2"/>
      <c r="V730" s="2"/>
      <c r="W730" s="2"/>
      <c r="X730" s="2"/>
      <c r="Y730" s="2"/>
      <c r="Z730" s="2"/>
      <c r="AA730" s="2"/>
      <c r="AB730" s="2"/>
    </row>
    <row r="731" spans="1:28" ht="1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U731" s="2"/>
      <c r="V731" s="2"/>
      <c r="W731" s="2"/>
      <c r="X731" s="2"/>
      <c r="Y731" s="2"/>
      <c r="Z731" s="2"/>
      <c r="AA731" s="2"/>
      <c r="AB731" s="2"/>
    </row>
    <row r="732" spans="1:28" ht="1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U732" s="2"/>
      <c r="V732" s="2"/>
      <c r="W732" s="2"/>
      <c r="X732" s="2"/>
      <c r="Y732" s="2"/>
      <c r="Z732" s="2"/>
      <c r="AA732" s="2"/>
      <c r="AB732" s="2"/>
    </row>
    <row r="733" spans="1:28" ht="1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U733" s="2"/>
      <c r="V733" s="2"/>
      <c r="W733" s="2"/>
      <c r="X733" s="2"/>
      <c r="Y733" s="2"/>
      <c r="Z733" s="2"/>
      <c r="AA733" s="2"/>
      <c r="AB733" s="2"/>
    </row>
    <row r="734" spans="1:28" ht="1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U734" s="2"/>
      <c r="V734" s="2"/>
      <c r="W734" s="2"/>
      <c r="X734" s="2"/>
      <c r="Y734" s="2"/>
      <c r="Z734" s="2"/>
      <c r="AA734" s="2"/>
      <c r="AB734" s="2"/>
    </row>
    <row r="735" spans="1:28" ht="1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U735" s="2"/>
      <c r="V735" s="2"/>
      <c r="W735" s="2"/>
      <c r="X735" s="2"/>
      <c r="Y735" s="2"/>
      <c r="Z735" s="2"/>
      <c r="AA735" s="2"/>
      <c r="AB735" s="2"/>
    </row>
    <row r="736" spans="1:28" ht="1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U736" s="2"/>
      <c r="V736" s="2"/>
      <c r="W736" s="2"/>
      <c r="X736" s="2"/>
      <c r="Y736" s="2"/>
      <c r="Z736" s="2"/>
      <c r="AA736" s="2"/>
      <c r="AB736" s="2"/>
    </row>
    <row r="737" spans="1:28" ht="1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U737" s="2"/>
      <c r="V737" s="2"/>
      <c r="W737" s="2"/>
      <c r="X737" s="2"/>
      <c r="Y737" s="2"/>
      <c r="Z737" s="2"/>
      <c r="AA737" s="2"/>
      <c r="AB737" s="2"/>
    </row>
    <row r="738" spans="1:28" ht="1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U738" s="2"/>
      <c r="V738" s="2"/>
      <c r="W738" s="2"/>
      <c r="X738" s="2"/>
      <c r="Y738" s="2"/>
      <c r="Z738" s="2"/>
      <c r="AA738" s="2"/>
      <c r="AB738" s="2"/>
    </row>
    <row r="739" spans="1:28" ht="1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U739" s="2"/>
      <c r="V739" s="2"/>
      <c r="W739" s="2"/>
      <c r="X739" s="2"/>
      <c r="Y739" s="2"/>
      <c r="Z739" s="2"/>
      <c r="AA739" s="2"/>
      <c r="AB739" s="2"/>
    </row>
    <row r="740" spans="1:28" ht="1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U740" s="2"/>
      <c r="V740" s="2"/>
      <c r="W740" s="2"/>
      <c r="X740" s="2"/>
      <c r="Y740" s="2"/>
      <c r="Z740" s="2"/>
      <c r="AA740" s="2"/>
      <c r="AB740" s="2"/>
    </row>
    <row r="741" spans="1:28" ht="1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U741" s="2"/>
      <c r="V741" s="2"/>
      <c r="W741" s="2"/>
      <c r="X741" s="2"/>
      <c r="Y741" s="2"/>
      <c r="Z741" s="2"/>
      <c r="AA741" s="2"/>
      <c r="AB741" s="2"/>
    </row>
    <row r="742" spans="1:28" ht="1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U742" s="2"/>
      <c r="V742" s="2"/>
      <c r="W742" s="2"/>
      <c r="X742" s="2"/>
      <c r="Y742" s="2"/>
      <c r="Z742" s="2"/>
      <c r="AA742" s="2"/>
      <c r="AB742" s="2"/>
    </row>
    <row r="743" spans="1:28" ht="1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U743" s="2"/>
      <c r="V743" s="2"/>
      <c r="W743" s="2"/>
      <c r="X743" s="2"/>
      <c r="Y743" s="2"/>
      <c r="Z743" s="2"/>
      <c r="AA743" s="2"/>
      <c r="AB743" s="2"/>
    </row>
    <row r="744" spans="1:28" ht="1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U744" s="2"/>
      <c r="V744" s="2"/>
      <c r="W744" s="2"/>
      <c r="X744" s="2"/>
      <c r="Y744" s="2"/>
      <c r="Z744" s="2"/>
      <c r="AA744" s="2"/>
      <c r="AB744" s="2"/>
    </row>
    <row r="745" spans="1:28" ht="1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U745" s="2"/>
      <c r="V745" s="2"/>
      <c r="W745" s="2"/>
      <c r="X745" s="2"/>
      <c r="Y745" s="2"/>
      <c r="Z745" s="2"/>
      <c r="AA745" s="2"/>
      <c r="AB745" s="2"/>
    </row>
    <row r="746" spans="1:28" ht="1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U746" s="2"/>
      <c r="V746" s="2"/>
      <c r="W746" s="2"/>
      <c r="X746" s="2"/>
      <c r="Y746" s="2"/>
      <c r="Z746" s="2"/>
      <c r="AA746" s="2"/>
      <c r="AB746" s="2"/>
    </row>
    <row r="747" spans="1:28" ht="1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U747" s="2"/>
      <c r="V747" s="2"/>
      <c r="W747" s="2"/>
      <c r="X747" s="2"/>
      <c r="Y747" s="2"/>
      <c r="Z747" s="2"/>
      <c r="AA747" s="2"/>
      <c r="AB747" s="2"/>
    </row>
    <row r="748" spans="1:28" ht="1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U748" s="2"/>
      <c r="V748" s="2"/>
      <c r="W748" s="2"/>
      <c r="X748" s="2"/>
      <c r="Y748" s="2"/>
      <c r="Z748" s="2"/>
      <c r="AA748" s="2"/>
      <c r="AB748" s="2"/>
    </row>
    <row r="749" spans="1:28" ht="1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U749" s="2"/>
      <c r="V749" s="2"/>
      <c r="W749" s="2"/>
      <c r="X749" s="2"/>
      <c r="Y749" s="2"/>
      <c r="Z749" s="2"/>
      <c r="AA749" s="2"/>
      <c r="AB749" s="2"/>
    </row>
    <row r="750" spans="1:28" ht="1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U750" s="2"/>
      <c r="V750" s="2"/>
      <c r="W750" s="2"/>
      <c r="X750" s="2"/>
      <c r="Y750" s="2"/>
      <c r="Z750" s="2"/>
      <c r="AA750" s="2"/>
      <c r="AB750" s="2"/>
    </row>
    <row r="751" spans="1:28" ht="1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U751" s="2"/>
      <c r="V751" s="2"/>
      <c r="W751" s="2"/>
      <c r="X751" s="2"/>
      <c r="Y751" s="2"/>
      <c r="Z751" s="2"/>
      <c r="AA751" s="2"/>
      <c r="AB751" s="2"/>
    </row>
    <row r="752" spans="1:28" ht="1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U752" s="2"/>
      <c r="V752" s="2"/>
      <c r="W752" s="2"/>
      <c r="X752" s="2"/>
      <c r="Y752" s="2"/>
      <c r="Z752" s="2"/>
      <c r="AA752" s="2"/>
      <c r="AB752" s="2"/>
    </row>
    <row r="753" spans="1:28" ht="1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U753" s="2"/>
      <c r="V753" s="2"/>
      <c r="W753" s="2"/>
      <c r="X753" s="2"/>
      <c r="Y753" s="2"/>
      <c r="Z753" s="2"/>
      <c r="AA753" s="2"/>
      <c r="AB753" s="2"/>
    </row>
    <row r="754" spans="1:28" ht="1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U754" s="2"/>
      <c r="V754" s="2"/>
      <c r="W754" s="2"/>
      <c r="X754" s="2"/>
      <c r="Y754" s="2"/>
      <c r="Z754" s="2"/>
      <c r="AA754" s="2"/>
      <c r="AB754" s="2"/>
    </row>
    <row r="755" spans="1:28" ht="1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U755" s="2"/>
      <c r="V755" s="2"/>
      <c r="W755" s="2"/>
      <c r="X755" s="2"/>
      <c r="Y755" s="2"/>
      <c r="Z755" s="2"/>
      <c r="AA755" s="2"/>
      <c r="AB755" s="2"/>
    </row>
    <row r="756" spans="1:28" ht="1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U756" s="2"/>
      <c r="V756" s="2"/>
      <c r="W756" s="2"/>
      <c r="X756" s="2"/>
      <c r="Y756" s="2"/>
      <c r="Z756" s="2"/>
      <c r="AA756" s="2"/>
      <c r="AB756" s="2"/>
    </row>
    <row r="757" spans="1:28" ht="1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U757" s="2"/>
      <c r="V757" s="2"/>
      <c r="W757" s="2"/>
      <c r="X757" s="2"/>
      <c r="Y757" s="2"/>
      <c r="Z757" s="2"/>
      <c r="AA757" s="2"/>
      <c r="AB757" s="2"/>
    </row>
    <row r="758" spans="1:28" ht="1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U758" s="2"/>
      <c r="V758" s="2"/>
      <c r="W758" s="2"/>
      <c r="X758" s="2"/>
      <c r="Y758" s="2"/>
      <c r="Z758" s="2"/>
      <c r="AA758" s="2"/>
      <c r="AB758" s="2"/>
    </row>
    <row r="759" spans="1:28" ht="1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U759" s="2"/>
      <c r="V759" s="2"/>
      <c r="W759" s="2"/>
      <c r="X759" s="2"/>
      <c r="Y759" s="2"/>
      <c r="Z759" s="2"/>
      <c r="AA759" s="2"/>
      <c r="AB759" s="2"/>
    </row>
    <row r="760" spans="1:28" ht="1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U760" s="2"/>
      <c r="V760" s="2"/>
      <c r="W760" s="2"/>
      <c r="X760" s="2"/>
      <c r="Y760" s="2"/>
      <c r="Z760" s="2"/>
      <c r="AA760" s="2"/>
      <c r="AB760" s="2"/>
    </row>
    <row r="761" spans="1:28" ht="1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U761" s="2"/>
      <c r="V761" s="2"/>
      <c r="W761" s="2"/>
      <c r="X761" s="2"/>
      <c r="Y761" s="2"/>
      <c r="Z761" s="2"/>
      <c r="AA761" s="2"/>
      <c r="AB761" s="2"/>
    </row>
    <row r="762" spans="1:28" ht="1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U762" s="2"/>
      <c r="V762" s="2"/>
      <c r="W762" s="2"/>
      <c r="X762" s="2"/>
      <c r="Y762" s="2"/>
      <c r="Z762" s="2"/>
      <c r="AA762" s="2"/>
      <c r="AB762" s="2"/>
    </row>
    <row r="763" spans="1:28" ht="1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U763" s="2"/>
      <c r="V763" s="2"/>
      <c r="W763" s="2"/>
      <c r="X763" s="2"/>
      <c r="Y763" s="2"/>
      <c r="Z763" s="2"/>
      <c r="AA763" s="2"/>
      <c r="AB763" s="2"/>
    </row>
    <row r="764" spans="1:28" ht="1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U764" s="2"/>
      <c r="V764" s="2"/>
      <c r="W764" s="2"/>
      <c r="X764" s="2"/>
      <c r="Y764" s="2"/>
      <c r="Z764" s="2"/>
      <c r="AA764" s="2"/>
      <c r="AB764" s="2"/>
    </row>
    <row r="765" spans="1:28" ht="1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U765" s="2"/>
      <c r="V765" s="2"/>
      <c r="W765" s="2"/>
      <c r="X765" s="2"/>
      <c r="Y765" s="2"/>
      <c r="Z765" s="2"/>
      <c r="AA765" s="2"/>
      <c r="AB765" s="2"/>
    </row>
    <row r="766" spans="1:28" ht="1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U766" s="2"/>
      <c r="V766" s="2"/>
      <c r="W766" s="2"/>
      <c r="X766" s="2"/>
      <c r="Y766" s="2"/>
      <c r="Z766" s="2"/>
      <c r="AA766" s="2"/>
      <c r="AB766" s="2"/>
    </row>
    <row r="767" spans="1:28" ht="1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U767" s="2"/>
      <c r="V767" s="2"/>
      <c r="W767" s="2"/>
      <c r="X767" s="2"/>
      <c r="Y767" s="2"/>
      <c r="Z767" s="2"/>
      <c r="AA767" s="2"/>
      <c r="AB767" s="2"/>
    </row>
    <row r="768" spans="1:28" ht="1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U768" s="2"/>
      <c r="V768" s="2"/>
      <c r="W768" s="2"/>
      <c r="X768" s="2"/>
      <c r="Y768" s="2"/>
      <c r="Z768" s="2"/>
      <c r="AA768" s="2"/>
      <c r="AB768" s="2"/>
    </row>
    <row r="769" spans="1:28" ht="1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U769" s="2"/>
      <c r="V769" s="2"/>
      <c r="W769" s="2"/>
      <c r="X769" s="2"/>
      <c r="Y769" s="2"/>
      <c r="Z769" s="2"/>
      <c r="AA769" s="2"/>
      <c r="AB769" s="2"/>
    </row>
    <row r="770" spans="1:28" ht="1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U770" s="2"/>
      <c r="V770" s="2"/>
      <c r="W770" s="2"/>
      <c r="X770" s="2"/>
      <c r="Y770" s="2"/>
      <c r="Z770" s="2"/>
      <c r="AA770" s="2"/>
      <c r="AB770" s="2"/>
    </row>
    <row r="771" spans="1:28" ht="1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U771" s="2"/>
      <c r="V771" s="2"/>
      <c r="W771" s="2"/>
      <c r="X771" s="2"/>
      <c r="Y771" s="2"/>
      <c r="Z771" s="2"/>
      <c r="AA771" s="2"/>
      <c r="AB771" s="2"/>
    </row>
    <row r="772" spans="1:28" ht="1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U772" s="2"/>
      <c r="V772" s="2"/>
      <c r="W772" s="2"/>
      <c r="X772" s="2"/>
      <c r="Y772" s="2"/>
      <c r="Z772" s="2"/>
      <c r="AA772" s="2"/>
      <c r="AB772" s="2"/>
    </row>
    <row r="773" spans="1:28" ht="1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U773" s="2"/>
      <c r="V773" s="2"/>
      <c r="W773" s="2"/>
      <c r="X773" s="2"/>
      <c r="Y773" s="2"/>
      <c r="Z773" s="2"/>
      <c r="AA773" s="2"/>
      <c r="AB773" s="2"/>
    </row>
    <row r="774" spans="1:28" ht="1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U774" s="2"/>
      <c r="V774" s="2"/>
      <c r="W774" s="2"/>
      <c r="X774" s="2"/>
      <c r="Y774" s="2"/>
      <c r="Z774" s="2"/>
      <c r="AA774" s="2"/>
      <c r="AB774" s="2"/>
    </row>
    <row r="775" spans="1:28" ht="1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U775" s="2"/>
      <c r="V775" s="2"/>
      <c r="W775" s="2"/>
      <c r="X775" s="2"/>
      <c r="Y775" s="2"/>
      <c r="Z775" s="2"/>
      <c r="AA775" s="2"/>
      <c r="AB775" s="2"/>
    </row>
    <row r="776" spans="1:28" ht="1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U776" s="2"/>
      <c r="V776" s="2"/>
      <c r="W776" s="2"/>
      <c r="X776" s="2"/>
      <c r="Y776" s="2"/>
      <c r="Z776" s="2"/>
      <c r="AA776" s="2"/>
      <c r="AB776" s="2"/>
    </row>
    <row r="777" spans="1:28" ht="1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U777" s="2"/>
      <c r="V777" s="2"/>
      <c r="W777" s="2"/>
      <c r="X777" s="2"/>
      <c r="Y777" s="2"/>
      <c r="Z777" s="2"/>
      <c r="AA777" s="2"/>
      <c r="AB777" s="2"/>
    </row>
    <row r="778" spans="1:28" ht="1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U778" s="2"/>
      <c r="V778" s="2"/>
      <c r="W778" s="2"/>
      <c r="X778" s="2"/>
      <c r="Y778" s="2"/>
      <c r="Z778" s="2"/>
      <c r="AA778" s="2"/>
      <c r="AB778" s="2"/>
    </row>
    <row r="779" spans="1:28" ht="1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U779" s="2"/>
      <c r="V779" s="2"/>
      <c r="W779" s="2"/>
      <c r="X779" s="2"/>
      <c r="Y779" s="2"/>
      <c r="Z779" s="2"/>
      <c r="AA779" s="2"/>
      <c r="AB779" s="2"/>
    </row>
    <row r="780" spans="1:28" ht="1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U780" s="2"/>
      <c r="V780" s="2"/>
      <c r="W780" s="2"/>
      <c r="X780" s="2"/>
      <c r="Y780" s="2"/>
      <c r="Z780" s="2"/>
      <c r="AA780" s="2"/>
      <c r="AB780" s="2"/>
    </row>
    <row r="781" spans="1:28" ht="1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U781" s="2"/>
      <c r="V781" s="2"/>
      <c r="W781" s="2"/>
      <c r="X781" s="2"/>
      <c r="Y781" s="2"/>
      <c r="Z781" s="2"/>
      <c r="AA781" s="2"/>
      <c r="AB781" s="2"/>
    </row>
    <row r="782" spans="1:28" ht="1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U782" s="2"/>
      <c r="V782" s="2"/>
      <c r="W782" s="2"/>
      <c r="X782" s="2"/>
      <c r="Y782" s="2"/>
      <c r="Z782" s="2"/>
      <c r="AA782" s="2"/>
      <c r="AB782" s="2"/>
    </row>
    <row r="783" spans="1:28" ht="1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U783" s="2"/>
      <c r="V783" s="2"/>
      <c r="W783" s="2"/>
      <c r="X783" s="2"/>
      <c r="Y783" s="2"/>
      <c r="Z783" s="2"/>
      <c r="AA783" s="2"/>
      <c r="AB783" s="2"/>
    </row>
    <row r="784" spans="1:28" ht="1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U784" s="2"/>
      <c r="V784" s="2"/>
      <c r="W784" s="2"/>
      <c r="X784" s="2"/>
      <c r="Y784" s="2"/>
      <c r="Z784" s="2"/>
      <c r="AA784" s="2"/>
      <c r="AB784" s="2"/>
    </row>
    <row r="785" spans="1:28" ht="1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U785" s="2"/>
      <c r="V785" s="2"/>
      <c r="W785" s="2"/>
      <c r="X785" s="2"/>
      <c r="Y785" s="2"/>
      <c r="Z785" s="2"/>
      <c r="AA785" s="2"/>
      <c r="AB785" s="2"/>
    </row>
    <row r="786" spans="1:28" ht="1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U786" s="2"/>
      <c r="V786" s="2"/>
      <c r="W786" s="2"/>
      <c r="X786" s="2"/>
      <c r="Y786" s="2"/>
      <c r="Z786" s="2"/>
      <c r="AA786" s="2"/>
      <c r="AB786" s="2"/>
    </row>
    <row r="787" spans="1:28" ht="1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U787" s="2"/>
      <c r="V787" s="2"/>
      <c r="W787" s="2"/>
      <c r="X787" s="2"/>
      <c r="Y787" s="2"/>
      <c r="Z787" s="2"/>
      <c r="AA787" s="2"/>
      <c r="AB787" s="2"/>
    </row>
    <row r="788" spans="1:28" ht="1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U788" s="2"/>
      <c r="V788" s="2"/>
      <c r="W788" s="2"/>
      <c r="X788" s="2"/>
      <c r="Y788" s="2"/>
      <c r="Z788" s="2"/>
      <c r="AA788" s="2"/>
      <c r="AB788" s="2"/>
    </row>
    <row r="789" spans="1:28" ht="1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U789" s="2"/>
      <c r="V789" s="2"/>
      <c r="W789" s="2"/>
      <c r="X789" s="2"/>
      <c r="Y789" s="2"/>
      <c r="Z789" s="2"/>
      <c r="AA789" s="2"/>
      <c r="AB789" s="2"/>
    </row>
    <row r="790" spans="1:28" ht="1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U790" s="2"/>
      <c r="V790" s="2"/>
      <c r="W790" s="2"/>
      <c r="X790" s="2"/>
      <c r="Y790" s="2"/>
      <c r="Z790" s="2"/>
      <c r="AA790" s="2"/>
      <c r="AB790" s="2"/>
    </row>
    <row r="791" spans="1:28" ht="1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U791" s="2"/>
      <c r="V791" s="2"/>
      <c r="W791" s="2"/>
      <c r="X791" s="2"/>
      <c r="Y791" s="2"/>
      <c r="Z791" s="2"/>
      <c r="AA791" s="2"/>
      <c r="AB791" s="2"/>
    </row>
    <row r="792" spans="1:28" ht="1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U792" s="2"/>
      <c r="V792" s="2"/>
      <c r="W792" s="2"/>
      <c r="X792" s="2"/>
      <c r="Y792" s="2"/>
      <c r="Z792" s="2"/>
      <c r="AA792" s="2"/>
      <c r="AB792" s="2"/>
    </row>
    <row r="793" spans="1:28" ht="1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U793" s="2"/>
      <c r="V793" s="2"/>
      <c r="W793" s="2"/>
      <c r="X793" s="2"/>
      <c r="Y793" s="2"/>
      <c r="Z793" s="2"/>
      <c r="AA793" s="2"/>
      <c r="AB793" s="2"/>
    </row>
    <row r="794" spans="1:28" ht="1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U794" s="2"/>
      <c r="V794" s="2"/>
      <c r="W794" s="2"/>
      <c r="X794" s="2"/>
      <c r="Y794" s="2"/>
      <c r="Z794" s="2"/>
      <c r="AA794" s="2"/>
      <c r="AB794" s="2"/>
    </row>
    <row r="795" spans="1:28" ht="1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U795" s="2"/>
      <c r="V795" s="2"/>
      <c r="W795" s="2"/>
      <c r="X795" s="2"/>
      <c r="Y795" s="2"/>
      <c r="Z795" s="2"/>
      <c r="AA795" s="2"/>
      <c r="AB795" s="2"/>
    </row>
    <row r="796" spans="1:28" ht="1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U796" s="2"/>
      <c r="V796" s="2"/>
      <c r="W796" s="2"/>
      <c r="X796" s="2"/>
      <c r="Y796" s="2"/>
      <c r="Z796" s="2"/>
      <c r="AA796" s="2"/>
      <c r="AB796" s="2"/>
    </row>
    <row r="797" spans="1:28" ht="1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U797" s="2"/>
      <c r="V797" s="2"/>
      <c r="W797" s="2"/>
      <c r="X797" s="2"/>
      <c r="Y797" s="2"/>
      <c r="Z797" s="2"/>
      <c r="AA797" s="2"/>
      <c r="AB797" s="2"/>
    </row>
    <row r="798" spans="1:28" ht="1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U798" s="2"/>
      <c r="V798" s="2"/>
      <c r="W798" s="2"/>
      <c r="X798" s="2"/>
      <c r="Y798" s="2"/>
      <c r="Z798" s="2"/>
      <c r="AA798" s="2"/>
      <c r="AB798" s="2"/>
    </row>
    <row r="799" spans="1:28" ht="1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U799" s="2"/>
      <c r="V799" s="2"/>
      <c r="W799" s="2"/>
      <c r="X799" s="2"/>
      <c r="Y799" s="2"/>
      <c r="Z799" s="2"/>
      <c r="AA799" s="2"/>
      <c r="AB799" s="2"/>
    </row>
    <row r="800" spans="1:28" ht="1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U800" s="2"/>
      <c r="V800" s="2"/>
      <c r="W800" s="2"/>
      <c r="X800" s="2"/>
      <c r="Y800" s="2"/>
      <c r="Z800" s="2"/>
      <c r="AA800" s="2"/>
      <c r="AB800" s="2"/>
    </row>
    <row r="801" spans="1:28" ht="1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U801" s="2"/>
      <c r="V801" s="2"/>
      <c r="W801" s="2"/>
      <c r="X801" s="2"/>
      <c r="Y801" s="2"/>
      <c r="Z801" s="2"/>
      <c r="AA801" s="2"/>
      <c r="AB801" s="2"/>
    </row>
    <row r="802" spans="1:28" ht="1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U802" s="2"/>
      <c r="V802" s="2"/>
      <c r="W802" s="2"/>
      <c r="X802" s="2"/>
      <c r="Y802" s="2"/>
      <c r="Z802" s="2"/>
      <c r="AA802" s="2"/>
      <c r="AB802" s="2"/>
    </row>
    <row r="803" spans="1:28" ht="1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U803" s="2"/>
      <c r="V803" s="2"/>
      <c r="W803" s="2"/>
      <c r="X803" s="2"/>
      <c r="Y803" s="2"/>
      <c r="Z803" s="2"/>
      <c r="AA803" s="2"/>
      <c r="AB803" s="2"/>
    </row>
    <row r="804" spans="1:28" ht="1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U804" s="2"/>
      <c r="V804" s="2"/>
      <c r="W804" s="2"/>
      <c r="X804" s="2"/>
      <c r="Y804" s="2"/>
      <c r="Z804" s="2"/>
      <c r="AA804" s="2"/>
      <c r="AB804" s="2"/>
    </row>
    <row r="805" spans="1:28" ht="1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U805" s="2"/>
      <c r="V805" s="2"/>
      <c r="W805" s="2"/>
      <c r="X805" s="2"/>
      <c r="Y805" s="2"/>
      <c r="Z805" s="2"/>
      <c r="AA805" s="2"/>
      <c r="AB805" s="2"/>
    </row>
    <row r="806" spans="1:28" ht="1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U806" s="2"/>
      <c r="V806" s="2"/>
      <c r="W806" s="2"/>
      <c r="X806" s="2"/>
      <c r="Y806" s="2"/>
      <c r="Z806" s="2"/>
      <c r="AA806" s="2"/>
      <c r="AB806" s="2"/>
    </row>
    <row r="807" spans="1:28" ht="1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U807" s="2"/>
      <c r="V807" s="2"/>
      <c r="W807" s="2"/>
      <c r="X807" s="2"/>
      <c r="Y807" s="2"/>
      <c r="Z807" s="2"/>
      <c r="AA807" s="2"/>
      <c r="AB807" s="2"/>
    </row>
    <row r="808" spans="1:28" ht="1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U808" s="2"/>
      <c r="V808" s="2"/>
      <c r="W808" s="2"/>
      <c r="X808" s="2"/>
      <c r="Y808" s="2"/>
      <c r="Z808" s="2"/>
      <c r="AA808" s="2"/>
      <c r="AB808" s="2"/>
    </row>
    <row r="809" spans="1:28" ht="1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U809" s="2"/>
      <c r="V809" s="2"/>
      <c r="W809" s="2"/>
      <c r="X809" s="2"/>
      <c r="Y809" s="2"/>
      <c r="Z809" s="2"/>
      <c r="AA809" s="2"/>
      <c r="AB809" s="2"/>
    </row>
    <row r="810" spans="1:28" ht="1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U810" s="2"/>
      <c r="V810" s="2"/>
      <c r="W810" s="2"/>
      <c r="X810" s="2"/>
      <c r="Y810" s="2"/>
      <c r="Z810" s="2"/>
      <c r="AA810" s="2"/>
      <c r="AB810" s="2"/>
    </row>
    <row r="811" spans="1:28" ht="1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U811" s="2"/>
      <c r="V811" s="2"/>
      <c r="W811" s="2"/>
      <c r="X811" s="2"/>
      <c r="Y811" s="2"/>
      <c r="Z811" s="2"/>
      <c r="AA811" s="2"/>
      <c r="AB811" s="2"/>
    </row>
    <row r="812" spans="1:28" ht="1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U812" s="2"/>
      <c r="V812" s="2"/>
      <c r="W812" s="2"/>
      <c r="X812" s="2"/>
      <c r="Y812" s="2"/>
      <c r="Z812" s="2"/>
      <c r="AA812" s="2"/>
      <c r="AB812" s="2"/>
    </row>
    <row r="813" spans="1:28" ht="1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U813" s="2"/>
      <c r="V813" s="2"/>
      <c r="W813" s="2"/>
      <c r="X813" s="2"/>
      <c r="Y813" s="2"/>
      <c r="Z813" s="2"/>
      <c r="AA813" s="2"/>
      <c r="AB813" s="2"/>
    </row>
    <row r="814" spans="1:28" ht="1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U814" s="2"/>
      <c r="V814" s="2"/>
      <c r="W814" s="2"/>
      <c r="X814" s="2"/>
      <c r="Y814" s="2"/>
      <c r="Z814" s="2"/>
      <c r="AA814" s="2"/>
      <c r="AB814" s="2"/>
    </row>
    <row r="815" spans="1:28" ht="1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U815" s="2"/>
      <c r="V815" s="2"/>
      <c r="W815" s="2"/>
      <c r="X815" s="2"/>
      <c r="Y815" s="2"/>
      <c r="Z815" s="2"/>
      <c r="AA815" s="2"/>
      <c r="AB815" s="2"/>
    </row>
    <row r="816" spans="1:28" ht="1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U816" s="2"/>
      <c r="V816" s="2"/>
      <c r="W816" s="2"/>
      <c r="X816" s="2"/>
      <c r="Y816" s="2"/>
      <c r="Z816" s="2"/>
      <c r="AA816" s="2"/>
      <c r="AB816" s="2"/>
    </row>
    <row r="817" spans="1:28" ht="1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U817" s="2"/>
      <c r="V817" s="2"/>
      <c r="W817" s="2"/>
      <c r="X817" s="2"/>
      <c r="Y817" s="2"/>
      <c r="Z817" s="2"/>
      <c r="AA817" s="2"/>
      <c r="AB817" s="2"/>
    </row>
    <row r="818" spans="1:28" ht="1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U818" s="2"/>
      <c r="V818" s="2"/>
      <c r="W818" s="2"/>
      <c r="X818" s="2"/>
      <c r="Y818" s="2"/>
      <c r="Z818" s="2"/>
      <c r="AA818" s="2"/>
      <c r="AB818" s="2"/>
    </row>
    <row r="819" spans="1:28" ht="1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U819" s="2"/>
      <c r="V819" s="2"/>
      <c r="W819" s="2"/>
      <c r="X819" s="2"/>
      <c r="Y819" s="2"/>
      <c r="Z819" s="2"/>
      <c r="AA819" s="2"/>
      <c r="AB819" s="2"/>
    </row>
    <row r="820" spans="1:28" ht="1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U820" s="2"/>
      <c r="V820" s="2"/>
      <c r="W820" s="2"/>
      <c r="X820" s="2"/>
      <c r="Y820" s="2"/>
      <c r="Z820" s="2"/>
      <c r="AA820" s="2"/>
      <c r="AB820" s="2"/>
    </row>
    <row r="821" spans="1:28" ht="1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U821" s="2"/>
      <c r="V821" s="2"/>
      <c r="W821" s="2"/>
      <c r="X821" s="2"/>
      <c r="Y821" s="2"/>
      <c r="Z821" s="2"/>
      <c r="AA821" s="2"/>
      <c r="AB821" s="2"/>
    </row>
    <row r="822" spans="1:28" ht="1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U822" s="2"/>
      <c r="V822" s="2"/>
      <c r="W822" s="2"/>
      <c r="X822" s="2"/>
      <c r="Y822" s="2"/>
      <c r="Z822" s="2"/>
      <c r="AA822" s="2"/>
      <c r="AB822" s="2"/>
    </row>
    <row r="823" spans="1:28" ht="1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U823" s="2"/>
      <c r="V823" s="2"/>
      <c r="W823" s="2"/>
      <c r="X823" s="2"/>
      <c r="Y823" s="2"/>
      <c r="Z823" s="2"/>
      <c r="AA823" s="2"/>
      <c r="AB823" s="2"/>
    </row>
    <row r="824" spans="1:28" ht="1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U824" s="2"/>
      <c r="V824" s="2"/>
      <c r="W824" s="2"/>
      <c r="X824" s="2"/>
      <c r="Y824" s="2"/>
      <c r="Z824" s="2"/>
      <c r="AA824" s="2"/>
      <c r="AB824" s="2"/>
    </row>
    <row r="825" spans="1:28" ht="1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U825" s="2"/>
      <c r="V825" s="2"/>
      <c r="W825" s="2"/>
      <c r="X825" s="2"/>
      <c r="Y825" s="2"/>
      <c r="Z825" s="2"/>
      <c r="AA825" s="2"/>
      <c r="AB825" s="2"/>
    </row>
    <row r="826" spans="1:28" ht="1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U826" s="2"/>
      <c r="V826" s="2"/>
      <c r="W826" s="2"/>
      <c r="X826" s="2"/>
      <c r="Y826" s="2"/>
      <c r="Z826" s="2"/>
      <c r="AA826" s="2"/>
      <c r="AB826" s="2"/>
    </row>
    <row r="827" spans="1:28" ht="1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U827" s="2"/>
      <c r="V827" s="2"/>
      <c r="W827" s="2"/>
      <c r="X827" s="2"/>
      <c r="Y827" s="2"/>
      <c r="Z827" s="2"/>
      <c r="AA827" s="2"/>
      <c r="AB827" s="2"/>
    </row>
    <row r="828" spans="1:28" ht="1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U828" s="2"/>
      <c r="V828" s="2"/>
      <c r="W828" s="2"/>
      <c r="X828" s="2"/>
      <c r="Y828" s="2"/>
      <c r="Z828" s="2"/>
      <c r="AA828" s="2"/>
      <c r="AB828" s="2"/>
    </row>
    <row r="829" spans="1:28" ht="1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U829" s="2"/>
      <c r="V829" s="2"/>
      <c r="W829" s="2"/>
      <c r="X829" s="2"/>
      <c r="Y829" s="2"/>
      <c r="Z829" s="2"/>
      <c r="AA829" s="2"/>
      <c r="AB829" s="2"/>
    </row>
    <row r="830" spans="1:28" ht="1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U830" s="2"/>
      <c r="V830" s="2"/>
      <c r="W830" s="2"/>
      <c r="X830" s="2"/>
      <c r="Y830" s="2"/>
      <c r="Z830" s="2"/>
      <c r="AA830" s="2"/>
      <c r="AB830" s="2"/>
    </row>
    <row r="831" spans="1:28" ht="1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U831" s="2"/>
      <c r="V831" s="2"/>
      <c r="W831" s="2"/>
      <c r="X831" s="2"/>
      <c r="Y831" s="2"/>
      <c r="Z831" s="2"/>
      <c r="AA831" s="2"/>
      <c r="AB831" s="2"/>
    </row>
    <row r="832" spans="1:28" ht="1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U832" s="2"/>
      <c r="V832" s="2"/>
      <c r="W832" s="2"/>
      <c r="X832" s="2"/>
      <c r="Y832" s="2"/>
      <c r="Z832" s="2"/>
      <c r="AA832" s="2"/>
      <c r="AB832" s="2"/>
    </row>
    <row r="833" spans="1:28" ht="1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U833" s="2"/>
      <c r="V833" s="2"/>
      <c r="W833" s="2"/>
      <c r="X833" s="2"/>
      <c r="Y833" s="2"/>
      <c r="Z833" s="2"/>
      <c r="AA833" s="2"/>
      <c r="AB833" s="2"/>
    </row>
    <row r="834" spans="1:28" ht="1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U834" s="2"/>
      <c r="V834" s="2"/>
      <c r="W834" s="2"/>
      <c r="X834" s="2"/>
      <c r="Y834" s="2"/>
      <c r="Z834" s="2"/>
      <c r="AA834" s="2"/>
      <c r="AB834" s="2"/>
    </row>
    <row r="835" spans="1:28" ht="1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U835" s="2"/>
      <c r="V835" s="2"/>
      <c r="W835" s="2"/>
      <c r="X835" s="2"/>
      <c r="Y835" s="2"/>
      <c r="Z835" s="2"/>
      <c r="AA835" s="2"/>
      <c r="AB835" s="2"/>
    </row>
    <row r="836" spans="1:28" ht="1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U836" s="2"/>
      <c r="V836" s="2"/>
      <c r="W836" s="2"/>
      <c r="X836" s="2"/>
      <c r="Y836" s="2"/>
      <c r="Z836" s="2"/>
      <c r="AA836" s="2"/>
      <c r="AB836" s="2"/>
    </row>
    <row r="837" spans="1:28" ht="1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U837" s="2"/>
      <c r="V837" s="2"/>
      <c r="W837" s="2"/>
      <c r="X837" s="2"/>
      <c r="Y837" s="2"/>
      <c r="Z837" s="2"/>
      <c r="AA837" s="2"/>
      <c r="AB837" s="2"/>
    </row>
    <row r="838" spans="1:28" ht="1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U838" s="2"/>
      <c r="V838" s="2"/>
      <c r="W838" s="2"/>
      <c r="X838" s="2"/>
      <c r="Y838" s="2"/>
      <c r="Z838" s="2"/>
      <c r="AA838" s="2"/>
      <c r="AB838" s="2"/>
    </row>
    <row r="839" spans="1:28" ht="1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U839" s="2"/>
      <c r="V839" s="2"/>
      <c r="W839" s="2"/>
      <c r="X839" s="2"/>
      <c r="Y839" s="2"/>
      <c r="Z839" s="2"/>
      <c r="AA839" s="2"/>
      <c r="AB839" s="2"/>
    </row>
    <row r="840" spans="1:28" ht="1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U840" s="2"/>
      <c r="V840" s="2"/>
      <c r="W840" s="2"/>
      <c r="X840" s="2"/>
      <c r="Y840" s="2"/>
      <c r="Z840" s="2"/>
      <c r="AA840" s="2"/>
      <c r="AB840" s="2"/>
    </row>
    <row r="841" spans="1:28" ht="1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U841" s="2"/>
      <c r="V841" s="2"/>
      <c r="W841" s="2"/>
      <c r="X841" s="2"/>
      <c r="Y841" s="2"/>
      <c r="Z841" s="2"/>
      <c r="AA841" s="2"/>
      <c r="AB841" s="2"/>
    </row>
    <row r="842" spans="1:28" ht="1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U842" s="2"/>
      <c r="V842" s="2"/>
      <c r="W842" s="2"/>
      <c r="X842" s="2"/>
      <c r="Y842" s="2"/>
      <c r="Z842" s="2"/>
      <c r="AA842" s="2"/>
      <c r="AB842" s="2"/>
    </row>
    <row r="843" spans="1:28" ht="1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U843" s="2"/>
      <c r="V843" s="2"/>
      <c r="W843" s="2"/>
      <c r="X843" s="2"/>
      <c r="Y843" s="2"/>
      <c r="Z843" s="2"/>
      <c r="AA843" s="2"/>
      <c r="AB843" s="2"/>
    </row>
    <row r="844" spans="1:28" ht="1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U844" s="2"/>
      <c r="V844" s="2"/>
      <c r="W844" s="2"/>
      <c r="X844" s="2"/>
      <c r="Y844" s="2"/>
      <c r="Z844" s="2"/>
      <c r="AA844" s="2"/>
      <c r="AB844" s="2"/>
    </row>
    <row r="845" spans="1:28" ht="1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U845" s="2"/>
      <c r="V845" s="2"/>
      <c r="W845" s="2"/>
      <c r="X845" s="2"/>
      <c r="Y845" s="2"/>
      <c r="Z845" s="2"/>
      <c r="AA845" s="2"/>
      <c r="AB845" s="2"/>
    </row>
    <row r="846" spans="1:28" ht="1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U846" s="2"/>
      <c r="V846" s="2"/>
      <c r="W846" s="2"/>
      <c r="X846" s="2"/>
      <c r="Y846" s="2"/>
      <c r="Z846" s="2"/>
      <c r="AA846" s="2"/>
      <c r="AB846" s="2"/>
    </row>
    <row r="847" spans="1:28" ht="1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U847" s="2"/>
      <c r="V847" s="2"/>
      <c r="W847" s="2"/>
      <c r="X847" s="2"/>
      <c r="Y847" s="2"/>
      <c r="Z847" s="2"/>
      <c r="AA847" s="2"/>
      <c r="AB847" s="2"/>
    </row>
    <row r="848" spans="1:28" ht="1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U848" s="2"/>
      <c r="V848" s="2"/>
      <c r="W848" s="2"/>
      <c r="X848" s="2"/>
      <c r="Y848" s="2"/>
      <c r="Z848" s="2"/>
      <c r="AA848" s="2"/>
      <c r="AB848" s="2"/>
    </row>
    <row r="849" spans="1:28" ht="1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U849" s="2"/>
      <c r="V849" s="2"/>
      <c r="W849" s="2"/>
      <c r="X849" s="2"/>
      <c r="Y849" s="2"/>
      <c r="Z849" s="2"/>
      <c r="AA849" s="2"/>
      <c r="AB849" s="2"/>
    </row>
    <row r="850" spans="1:28" ht="1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U850" s="2"/>
      <c r="V850" s="2"/>
      <c r="W850" s="2"/>
      <c r="X850" s="2"/>
      <c r="Y850" s="2"/>
      <c r="Z850" s="2"/>
      <c r="AA850" s="2"/>
      <c r="AB850" s="2"/>
    </row>
    <row r="851" spans="1:28" ht="1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U851" s="2"/>
      <c r="V851" s="2"/>
      <c r="W851" s="2"/>
      <c r="X851" s="2"/>
      <c r="Y851" s="2"/>
      <c r="Z851" s="2"/>
      <c r="AA851" s="2"/>
      <c r="AB851" s="2"/>
    </row>
    <row r="852" spans="1:28" ht="1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U852" s="2"/>
      <c r="V852" s="2"/>
      <c r="W852" s="2"/>
      <c r="X852" s="2"/>
      <c r="Y852" s="2"/>
      <c r="Z852" s="2"/>
      <c r="AA852" s="2"/>
      <c r="AB852" s="2"/>
    </row>
    <row r="853" spans="1:28" ht="1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U853" s="2"/>
      <c r="V853" s="2"/>
      <c r="W853" s="2"/>
      <c r="X853" s="2"/>
      <c r="Y853" s="2"/>
      <c r="Z853" s="2"/>
      <c r="AA853" s="2"/>
      <c r="AB853" s="2"/>
    </row>
    <row r="854" spans="1:28" ht="1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U854" s="2"/>
      <c r="V854" s="2"/>
      <c r="W854" s="2"/>
      <c r="X854" s="2"/>
      <c r="Y854" s="2"/>
      <c r="Z854" s="2"/>
      <c r="AA854" s="2"/>
      <c r="AB854" s="2"/>
    </row>
    <row r="855" spans="1:28" ht="1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U855" s="2"/>
      <c r="V855" s="2"/>
      <c r="W855" s="2"/>
      <c r="X855" s="2"/>
      <c r="Y855" s="2"/>
      <c r="Z855" s="2"/>
      <c r="AA855" s="2"/>
      <c r="AB855" s="2"/>
    </row>
    <row r="856" spans="1:28" ht="1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U856" s="2"/>
      <c r="V856" s="2"/>
      <c r="W856" s="2"/>
      <c r="X856" s="2"/>
      <c r="Y856" s="2"/>
      <c r="Z856" s="2"/>
      <c r="AA856" s="2"/>
      <c r="AB856" s="2"/>
    </row>
    <row r="857" spans="1:28" ht="1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U857" s="2"/>
      <c r="V857" s="2"/>
      <c r="W857" s="2"/>
      <c r="X857" s="2"/>
      <c r="Y857" s="2"/>
      <c r="Z857" s="2"/>
      <c r="AA857" s="2"/>
      <c r="AB857" s="2"/>
    </row>
    <row r="858" spans="1:28" ht="1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U858" s="2"/>
      <c r="V858" s="2"/>
      <c r="W858" s="2"/>
      <c r="X858" s="2"/>
      <c r="Y858" s="2"/>
      <c r="Z858" s="2"/>
      <c r="AA858" s="2"/>
      <c r="AB858" s="2"/>
    </row>
    <row r="859" spans="1:28" ht="1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U859" s="2"/>
      <c r="V859" s="2"/>
      <c r="W859" s="2"/>
      <c r="X859" s="2"/>
      <c r="Y859" s="2"/>
      <c r="Z859" s="2"/>
      <c r="AA859" s="2"/>
      <c r="AB859" s="2"/>
    </row>
    <row r="860" spans="1:28" ht="1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U860" s="2"/>
      <c r="V860" s="2"/>
      <c r="W860" s="2"/>
      <c r="X860" s="2"/>
      <c r="Y860" s="2"/>
      <c r="Z860" s="2"/>
      <c r="AA860" s="2"/>
      <c r="AB860" s="2"/>
    </row>
    <row r="861" spans="1:28" ht="1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U861" s="2"/>
      <c r="V861" s="2"/>
      <c r="W861" s="2"/>
      <c r="X861" s="2"/>
      <c r="Y861" s="2"/>
      <c r="Z861" s="2"/>
      <c r="AA861" s="2"/>
      <c r="AB861" s="2"/>
    </row>
    <row r="862" spans="1:28" ht="1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U862" s="2"/>
      <c r="V862" s="2"/>
      <c r="W862" s="2"/>
      <c r="X862" s="2"/>
      <c r="Y862" s="2"/>
      <c r="Z862" s="2"/>
      <c r="AA862" s="2"/>
      <c r="AB862" s="2"/>
    </row>
    <row r="863" spans="1:28" ht="1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U863" s="2"/>
      <c r="V863" s="2"/>
      <c r="W863" s="2"/>
      <c r="X863" s="2"/>
      <c r="Y863" s="2"/>
      <c r="Z863" s="2"/>
      <c r="AA863" s="2"/>
      <c r="AB863" s="2"/>
    </row>
    <row r="864" spans="1:28" ht="1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U864" s="2"/>
      <c r="V864" s="2"/>
      <c r="W864" s="2"/>
      <c r="X864" s="2"/>
      <c r="Y864" s="2"/>
      <c r="Z864" s="2"/>
      <c r="AA864" s="2"/>
      <c r="AB864" s="2"/>
    </row>
    <row r="865" spans="1:28" ht="1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U865" s="2"/>
      <c r="V865" s="2"/>
      <c r="W865" s="2"/>
      <c r="X865" s="2"/>
      <c r="Y865" s="2"/>
      <c r="Z865" s="2"/>
      <c r="AA865" s="2"/>
      <c r="AB865" s="2"/>
    </row>
    <row r="866" spans="1:28" ht="1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U866" s="2"/>
      <c r="V866" s="2"/>
      <c r="W866" s="2"/>
      <c r="X866" s="2"/>
      <c r="Y866" s="2"/>
      <c r="Z866" s="2"/>
      <c r="AA866" s="2"/>
      <c r="AB866" s="2"/>
    </row>
    <row r="867" spans="1:28" ht="1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U867" s="2"/>
      <c r="V867" s="2"/>
      <c r="W867" s="2"/>
      <c r="X867" s="2"/>
      <c r="Y867" s="2"/>
      <c r="Z867" s="2"/>
      <c r="AA867" s="2"/>
      <c r="AB867" s="2"/>
    </row>
    <row r="868" spans="1:28" ht="1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U868" s="2"/>
      <c r="V868" s="2"/>
      <c r="W868" s="2"/>
      <c r="X868" s="2"/>
      <c r="Y868" s="2"/>
      <c r="Z868" s="2"/>
      <c r="AA868" s="2"/>
      <c r="AB868" s="2"/>
    </row>
    <row r="869" spans="1:28" ht="1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U869" s="2"/>
      <c r="V869" s="2"/>
      <c r="W869" s="2"/>
      <c r="X869" s="2"/>
      <c r="Y869" s="2"/>
      <c r="Z869" s="2"/>
      <c r="AA869" s="2"/>
      <c r="AB869" s="2"/>
    </row>
    <row r="870" spans="1:28" ht="1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U870" s="2"/>
      <c r="V870" s="2"/>
      <c r="W870" s="2"/>
      <c r="X870" s="2"/>
      <c r="Y870" s="2"/>
      <c r="Z870" s="2"/>
      <c r="AA870" s="2"/>
      <c r="AB870" s="2"/>
    </row>
    <row r="871" spans="1:28" ht="1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U871" s="2"/>
      <c r="V871" s="2"/>
      <c r="W871" s="2"/>
      <c r="X871" s="2"/>
      <c r="Y871" s="2"/>
      <c r="Z871" s="2"/>
      <c r="AA871" s="2"/>
      <c r="AB871" s="2"/>
    </row>
    <row r="872" spans="1:28" ht="1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U872" s="2"/>
      <c r="V872" s="2"/>
      <c r="W872" s="2"/>
      <c r="X872" s="2"/>
      <c r="Y872" s="2"/>
      <c r="Z872" s="2"/>
      <c r="AA872" s="2"/>
      <c r="AB872" s="2"/>
    </row>
    <row r="873" spans="1:28" ht="1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U873" s="2"/>
      <c r="V873" s="2"/>
      <c r="W873" s="2"/>
      <c r="X873" s="2"/>
      <c r="Y873" s="2"/>
      <c r="Z873" s="2"/>
      <c r="AA873" s="2"/>
      <c r="AB873" s="2"/>
    </row>
    <row r="874" spans="1:28" ht="1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U874" s="2"/>
      <c r="V874" s="2"/>
      <c r="W874" s="2"/>
      <c r="X874" s="2"/>
      <c r="Y874" s="2"/>
      <c r="Z874" s="2"/>
      <c r="AA874" s="2"/>
      <c r="AB874" s="2"/>
    </row>
    <row r="875" spans="1:28" ht="1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U875" s="2"/>
      <c r="V875" s="2"/>
      <c r="W875" s="2"/>
      <c r="X875" s="2"/>
      <c r="Y875" s="2"/>
      <c r="Z875" s="2"/>
      <c r="AA875" s="2"/>
      <c r="AB875" s="2"/>
    </row>
    <row r="876" spans="1:28" ht="1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U876" s="2"/>
      <c r="V876" s="2"/>
      <c r="W876" s="2"/>
      <c r="X876" s="2"/>
      <c r="Y876" s="2"/>
      <c r="Z876" s="2"/>
      <c r="AA876" s="2"/>
      <c r="AB876" s="2"/>
    </row>
    <row r="877" spans="1:28" ht="1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U877" s="2"/>
      <c r="V877" s="2"/>
      <c r="W877" s="2"/>
      <c r="X877" s="2"/>
      <c r="Y877" s="2"/>
      <c r="Z877" s="2"/>
      <c r="AA877" s="2"/>
      <c r="AB877" s="2"/>
    </row>
    <row r="878" spans="1:28" ht="1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U878" s="2"/>
      <c r="V878" s="2"/>
      <c r="W878" s="2"/>
      <c r="X878" s="2"/>
      <c r="Y878" s="2"/>
      <c r="Z878" s="2"/>
      <c r="AA878" s="2"/>
      <c r="AB878" s="2"/>
    </row>
    <row r="879" spans="1:28" ht="1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U879" s="2"/>
      <c r="V879" s="2"/>
      <c r="W879" s="2"/>
      <c r="X879" s="2"/>
      <c r="Y879" s="2"/>
      <c r="Z879" s="2"/>
      <c r="AA879" s="2"/>
      <c r="AB879" s="2"/>
    </row>
    <row r="880" spans="1:28" ht="1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U880" s="2"/>
      <c r="V880" s="2"/>
      <c r="W880" s="2"/>
      <c r="X880" s="2"/>
      <c r="Y880" s="2"/>
      <c r="Z880" s="2"/>
      <c r="AA880" s="2"/>
      <c r="AB880" s="2"/>
    </row>
    <row r="881" spans="1:28" ht="1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U881" s="2"/>
      <c r="V881" s="2"/>
      <c r="W881" s="2"/>
      <c r="X881" s="2"/>
      <c r="Y881" s="2"/>
      <c r="Z881" s="2"/>
      <c r="AA881" s="2"/>
      <c r="AB881" s="2"/>
    </row>
    <row r="882" spans="1:28" ht="1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U882" s="2"/>
      <c r="V882" s="2"/>
      <c r="W882" s="2"/>
      <c r="X882" s="2"/>
      <c r="Y882" s="2"/>
      <c r="Z882" s="2"/>
      <c r="AA882" s="2"/>
      <c r="AB882" s="2"/>
    </row>
    <row r="883" spans="1:28" ht="1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U883" s="2"/>
      <c r="V883" s="2"/>
      <c r="W883" s="2"/>
      <c r="X883" s="2"/>
      <c r="Y883" s="2"/>
      <c r="Z883" s="2"/>
      <c r="AA883" s="2"/>
      <c r="AB883" s="2"/>
    </row>
    <row r="884" spans="1:28" ht="1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U884" s="2"/>
      <c r="V884" s="2"/>
      <c r="W884" s="2"/>
      <c r="X884" s="2"/>
      <c r="Y884" s="2"/>
      <c r="Z884" s="2"/>
      <c r="AA884" s="2"/>
      <c r="AB884" s="2"/>
    </row>
    <row r="885" spans="1:28" ht="1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U885" s="2"/>
      <c r="V885" s="2"/>
      <c r="W885" s="2"/>
      <c r="X885" s="2"/>
      <c r="Y885" s="2"/>
      <c r="Z885" s="2"/>
      <c r="AA885" s="2"/>
      <c r="AB885" s="2"/>
    </row>
    <row r="886" spans="1:28" ht="1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U886" s="2"/>
      <c r="V886" s="2"/>
      <c r="W886" s="2"/>
      <c r="X886" s="2"/>
      <c r="Y886" s="2"/>
      <c r="Z886" s="2"/>
      <c r="AA886" s="2"/>
      <c r="AB886" s="2"/>
    </row>
    <row r="887" spans="1:28" ht="1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U887" s="2"/>
      <c r="V887" s="2"/>
      <c r="W887" s="2"/>
      <c r="X887" s="2"/>
      <c r="Y887" s="2"/>
      <c r="Z887" s="2"/>
      <c r="AA887" s="2"/>
      <c r="AB887" s="2"/>
    </row>
    <row r="888" spans="1:28" ht="1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U888" s="2"/>
      <c r="V888" s="2"/>
      <c r="W888" s="2"/>
      <c r="X888" s="2"/>
      <c r="Y888" s="2"/>
      <c r="Z888" s="2"/>
      <c r="AA888" s="2"/>
      <c r="AB888" s="2"/>
    </row>
    <row r="889" spans="1:28" ht="1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U889" s="2"/>
      <c r="V889" s="2"/>
      <c r="W889" s="2"/>
      <c r="X889" s="2"/>
      <c r="Y889" s="2"/>
      <c r="Z889" s="2"/>
      <c r="AA889" s="2"/>
      <c r="AB889" s="2"/>
    </row>
    <row r="890" spans="1:28" ht="1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U890" s="2"/>
      <c r="V890" s="2"/>
      <c r="W890" s="2"/>
      <c r="X890" s="2"/>
      <c r="Y890" s="2"/>
      <c r="Z890" s="2"/>
      <c r="AA890" s="2"/>
      <c r="AB890" s="2"/>
    </row>
    <row r="891" spans="1:28" ht="1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U891" s="2"/>
      <c r="V891" s="2"/>
      <c r="W891" s="2"/>
      <c r="X891" s="2"/>
      <c r="Y891" s="2"/>
      <c r="Z891" s="2"/>
      <c r="AA891" s="2"/>
      <c r="AB891" s="2"/>
    </row>
    <row r="892" spans="1:28" ht="1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U892" s="2"/>
      <c r="V892" s="2"/>
      <c r="W892" s="2"/>
      <c r="X892" s="2"/>
      <c r="Y892" s="2"/>
      <c r="Z892" s="2"/>
      <c r="AA892" s="2"/>
      <c r="AB892" s="2"/>
    </row>
    <row r="893" spans="1:28" ht="1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U893" s="2"/>
      <c r="V893" s="2"/>
      <c r="W893" s="2"/>
      <c r="X893" s="2"/>
      <c r="Y893" s="2"/>
      <c r="Z893" s="2"/>
      <c r="AA893" s="2"/>
      <c r="AB893" s="2"/>
    </row>
    <row r="894" spans="1:28" ht="1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U894" s="2"/>
      <c r="V894" s="2"/>
      <c r="W894" s="2"/>
      <c r="X894" s="2"/>
      <c r="Y894" s="2"/>
      <c r="Z894" s="2"/>
      <c r="AA894" s="2"/>
      <c r="AB894" s="2"/>
    </row>
    <row r="895" spans="1:28" ht="1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U895" s="2"/>
      <c r="V895" s="2"/>
      <c r="W895" s="2"/>
      <c r="X895" s="2"/>
      <c r="Y895" s="2"/>
      <c r="Z895" s="2"/>
      <c r="AA895" s="2"/>
      <c r="AB895" s="2"/>
    </row>
    <row r="896" spans="1:28" ht="1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U896" s="2"/>
      <c r="V896" s="2"/>
      <c r="W896" s="2"/>
      <c r="X896" s="2"/>
      <c r="Y896" s="2"/>
      <c r="Z896" s="2"/>
      <c r="AA896" s="2"/>
      <c r="AB896" s="2"/>
    </row>
    <row r="897" spans="1:28" ht="1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U897" s="2"/>
      <c r="V897" s="2"/>
      <c r="W897" s="2"/>
      <c r="X897" s="2"/>
      <c r="Y897" s="2"/>
      <c r="Z897" s="2"/>
      <c r="AA897" s="2"/>
      <c r="AB897" s="2"/>
    </row>
    <row r="898" spans="1:28" ht="1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U898" s="2"/>
      <c r="V898" s="2"/>
      <c r="W898" s="2"/>
      <c r="X898" s="2"/>
      <c r="Y898" s="2"/>
      <c r="Z898" s="2"/>
      <c r="AA898" s="2"/>
      <c r="AB898" s="2"/>
    </row>
    <row r="899" spans="1:28" ht="1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U899" s="2"/>
      <c r="V899" s="2"/>
      <c r="W899" s="2"/>
      <c r="X899" s="2"/>
      <c r="Y899" s="2"/>
      <c r="Z899" s="2"/>
      <c r="AA899" s="2"/>
      <c r="AB899" s="2"/>
    </row>
    <row r="900" spans="1:28" ht="1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U900" s="2"/>
      <c r="V900" s="2"/>
      <c r="W900" s="2"/>
      <c r="X900" s="2"/>
      <c r="Y900" s="2"/>
      <c r="Z900" s="2"/>
      <c r="AA900" s="2"/>
      <c r="AB900" s="2"/>
    </row>
    <row r="901" spans="1:28" ht="1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U901" s="2"/>
      <c r="V901" s="2"/>
      <c r="W901" s="2"/>
      <c r="X901" s="2"/>
      <c r="Y901" s="2"/>
      <c r="Z901" s="2"/>
      <c r="AA901" s="2"/>
      <c r="AB901" s="2"/>
    </row>
    <row r="902" spans="1:28" ht="1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U902" s="2"/>
      <c r="V902" s="2"/>
      <c r="W902" s="2"/>
      <c r="X902" s="2"/>
      <c r="Y902" s="2"/>
      <c r="Z902" s="2"/>
      <c r="AA902" s="2"/>
      <c r="AB902" s="2"/>
    </row>
    <row r="903" spans="1:28" ht="1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U903" s="2"/>
      <c r="V903" s="2"/>
      <c r="W903" s="2"/>
      <c r="X903" s="2"/>
      <c r="Y903" s="2"/>
      <c r="Z903" s="2"/>
      <c r="AA903" s="2"/>
      <c r="AB903" s="2"/>
    </row>
    <row r="904" spans="1:28" ht="1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U904" s="2"/>
      <c r="V904" s="2"/>
      <c r="W904" s="2"/>
      <c r="X904" s="2"/>
      <c r="Y904" s="2"/>
      <c r="Z904" s="2"/>
      <c r="AA904" s="2"/>
      <c r="AB904" s="2"/>
    </row>
    <row r="905" spans="1:28" ht="1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U905" s="2"/>
      <c r="V905" s="2"/>
      <c r="W905" s="2"/>
      <c r="X905" s="2"/>
      <c r="Y905" s="2"/>
      <c r="Z905" s="2"/>
      <c r="AA905" s="2"/>
      <c r="AB905" s="2"/>
    </row>
    <row r="906" spans="1:28" ht="1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U906" s="2"/>
      <c r="V906" s="2"/>
      <c r="W906" s="2"/>
      <c r="X906" s="2"/>
      <c r="Y906" s="2"/>
      <c r="Z906" s="2"/>
      <c r="AA906" s="2"/>
      <c r="AB906" s="2"/>
    </row>
    <row r="907" spans="1:28" ht="1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U907" s="2"/>
      <c r="V907" s="2"/>
      <c r="W907" s="2"/>
      <c r="X907" s="2"/>
      <c r="Y907" s="2"/>
      <c r="Z907" s="2"/>
      <c r="AA907" s="2"/>
      <c r="AB907" s="2"/>
    </row>
    <row r="908" spans="1:28" ht="1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U908" s="2"/>
      <c r="V908" s="2"/>
      <c r="W908" s="2"/>
      <c r="X908" s="2"/>
      <c r="Y908" s="2"/>
      <c r="Z908" s="2"/>
      <c r="AA908" s="2"/>
      <c r="AB908" s="2"/>
    </row>
    <row r="909" spans="1:28" ht="1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U909" s="2"/>
      <c r="V909" s="2"/>
      <c r="W909" s="2"/>
      <c r="X909" s="2"/>
      <c r="Y909" s="2"/>
      <c r="Z909" s="2"/>
      <c r="AA909" s="2"/>
      <c r="AB909" s="2"/>
    </row>
    <row r="910" spans="1:28" ht="1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U910" s="2"/>
      <c r="V910" s="2"/>
      <c r="W910" s="2"/>
      <c r="X910" s="2"/>
      <c r="Y910" s="2"/>
      <c r="Z910" s="2"/>
      <c r="AA910" s="2"/>
      <c r="AB910" s="2"/>
    </row>
    <row r="911" spans="1:28" ht="1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U911" s="2"/>
      <c r="V911" s="2"/>
      <c r="W911" s="2"/>
      <c r="X911" s="2"/>
      <c r="Y911" s="2"/>
      <c r="Z911" s="2"/>
      <c r="AA911" s="2"/>
      <c r="AB911" s="2"/>
    </row>
    <row r="912" spans="1:28" ht="1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U912" s="2"/>
      <c r="V912" s="2"/>
      <c r="W912" s="2"/>
      <c r="X912" s="2"/>
      <c r="Y912" s="2"/>
      <c r="Z912" s="2"/>
      <c r="AA912" s="2"/>
      <c r="AB912" s="2"/>
    </row>
    <row r="913" spans="1:28" ht="1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U913" s="2"/>
      <c r="V913" s="2"/>
      <c r="W913" s="2"/>
      <c r="X913" s="2"/>
      <c r="Y913" s="2"/>
      <c r="Z913" s="2"/>
      <c r="AA913" s="2"/>
      <c r="AB913" s="2"/>
    </row>
    <row r="914" spans="1:28" ht="1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U914" s="2"/>
      <c r="V914" s="2"/>
      <c r="W914" s="2"/>
      <c r="X914" s="2"/>
      <c r="Y914" s="2"/>
      <c r="Z914" s="2"/>
      <c r="AA914" s="2"/>
      <c r="AB914" s="2"/>
    </row>
    <row r="915" spans="1:28" ht="1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U915" s="2"/>
      <c r="V915" s="2"/>
      <c r="W915" s="2"/>
      <c r="X915" s="2"/>
      <c r="Y915" s="2"/>
      <c r="Z915" s="2"/>
      <c r="AA915" s="2"/>
      <c r="AB915" s="2"/>
    </row>
    <row r="916" spans="1:28" ht="1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U916" s="2"/>
      <c r="V916" s="2"/>
      <c r="W916" s="2"/>
      <c r="X916" s="2"/>
      <c r="Y916" s="2"/>
      <c r="Z916" s="2"/>
      <c r="AA916" s="2"/>
      <c r="AB916" s="2"/>
    </row>
    <row r="917" spans="1:28" ht="1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U917" s="2"/>
      <c r="V917" s="2"/>
      <c r="W917" s="2"/>
      <c r="X917" s="2"/>
      <c r="Y917" s="2"/>
      <c r="Z917" s="2"/>
      <c r="AA917" s="2"/>
      <c r="AB917" s="2"/>
    </row>
    <row r="918" spans="1:28" ht="1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U918" s="2"/>
      <c r="V918" s="2"/>
      <c r="W918" s="2"/>
      <c r="X918" s="2"/>
      <c r="Y918" s="2"/>
      <c r="Z918" s="2"/>
      <c r="AA918" s="2"/>
      <c r="AB918" s="2"/>
    </row>
    <row r="919" spans="1:28" ht="1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U919" s="2"/>
      <c r="V919" s="2"/>
      <c r="W919" s="2"/>
      <c r="X919" s="2"/>
      <c r="Y919" s="2"/>
      <c r="Z919" s="2"/>
      <c r="AA919" s="2"/>
      <c r="AB919" s="2"/>
    </row>
    <row r="920" spans="1:28" ht="1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U920" s="2"/>
      <c r="V920" s="2"/>
      <c r="W920" s="2"/>
      <c r="X920" s="2"/>
      <c r="Y920" s="2"/>
      <c r="Z920" s="2"/>
      <c r="AA920" s="2"/>
      <c r="AB920" s="2"/>
    </row>
    <row r="921" spans="1:28" ht="1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U921" s="2"/>
      <c r="V921" s="2"/>
      <c r="W921" s="2"/>
      <c r="X921" s="2"/>
      <c r="Y921" s="2"/>
      <c r="Z921" s="2"/>
      <c r="AA921" s="2"/>
      <c r="AB921" s="2"/>
    </row>
    <row r="922" spans="1:28" ht="1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U922" s="2"/>
      <c r="V922" s="2"/>
      <c r="W922" s="2"/>
      <c r="X922" s="2"/>
      <c r="Y922" s="2"/>
      <c r="Z922" s="2"/>
      <c r="AA922" s="2"/>
      <c r="AB922" s="2"/>
    </row>
    <row r="923" spans="1:28" ht="1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U923" s="2"/>
      <c r="V923" s="2"/>
      <c r="W923" s="2"/>
      <c r="X923" s="2"/>
      <c r="Y923" s="2"/>
      <c r="Z923" s="2"/>
      <c r="AA923" s="2"/>
      <c r="AB923" s="2"/>
    </row>
    <row r="924" spans="1:28" ht="1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U924" s="2"/>
      <c r="V924" s="2"/>
      <c r="W924" s="2"/>
      <c r="X924" s="2"/>
      <c r="Y924" s="2"/>
      <c r="Z924" s="2"/>
      <c r="AA924" s="2"/>
      <c r="AB924" s="2"/>
    </row>
    <row r="925" spans="1:28" ht="1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U925" s="2"/>
      <c r="V925" s="2"/>
      <c r="W925" s="2"/>
      <c r="X925" s="2"/>
      <c r="Y925" s="2"/>
      <c r="Z925" s="2"/>
      <c r="AA925" s="2"/>
      <c r="AB925" s="2"/>
    </row>
    <row r="926" spans="1:28" ht="1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U926" s="2"/>
      <c r="V926" s="2"/>
      <c r="W926" s="2"/>
      <c r="X926" s="2"/>
      <c r="Y926" s="2"/>
      <c r="Z926" s="2"/>
      <c r="AA926" s="2"/>
      <c r="AB926" s="2"/>
    </row>
    <row r="927" spans="1:28" ht="1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U927" s="2"/>
      <c r="V927" s="2"/>
      <c r="W927" s="2"/>
      <c r="X927" s="2"/>
      <c r="Y927" s="2"/>
      <c r="Z927" s="2"/>
      <c r="AA927" s="2"/>
      <c r="AB927" s="2"/>
    </row>
    <row r="928" spans="1:28" ht="1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U928" s="2"/>
      <c r="V928" s="2"/>
      <c r="W928" s="2"/>
      <c r="X928" s="2"/>
      <c r="Y928" s="2"/>
      <c r="Z928" s="2"/>
      <c r="AA928" s="2"/>
      <c r="AB928" s="2"/>
    </row>
    <row r="929" spans="1:28" ht="1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U929" s="2"/>
      <c r="V929" s="2"/>
      <c r="W929" s="2"/>
      <c r="X929" s="2"/>
      <c r="Y929" s="2"/>
      <c r="Z929" s="2"/>
      <c r="AA929" s="2"/>
      <c r="AB929" s="2"/>
    </row>
    <row r="930" spans="1:28" ht="1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U930" s="2"/>
      <c r="V930" s="2"/>
      <c r="W930" s="2"/>
      <c r="X930" s="2"/>
      <c r="Y930" s="2"/>
      <c r="Z930" s="2"/>
      <c r="AA930" s="2"/>
      <c r="AB930" s="2"/>
    </row>
    <row r="931" spans="1:28" ht="1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U931" s="2"/>
      <c r="V931" s="2"/>
      <c r="W931" s="2"/>
      <c r="X931" s="2"/>
      <c r="Y931" s="2"/>
      <c r="Z931" s="2"/>
      <c r="AA931" s="2"/>
      <c r="AB931" s="2"/>
    </row>
    <row r="932" spans="1:28" ht="1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U932" s="2"/>
      <c r="V932" s="2"/>
      <c r="W932" s="2"/>
      <c r="X932" s="2"/>
      <c r="Y932" s="2"/>
      <c r="Z932" s="2"/>
      <c r="AA932" s="2"/>
      <c r="AB932" s="2"/>
    </row>
    <row r="933" spans="1:28" ht="1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U933" s="2"/>
      <c r="V933" s="2"/>
      <c r="W933" s="2"/>
      <c r="X933" s="2"/>
      <c r="Y933" s="2"/>
      <c r="Z933" s="2"/>
      <c r="AA933" s="2"/>
      <c r="AB933" s="2"/>
    </row>
    <row r="934" spans="1:28" ht="1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U934" s="2"/>
      <c r="V934" s="2"/>
      <c r="W934" s="2"/>
      <c r="X934" s="2"/>
      <c r="Y934" s="2"/>
      <c r="Z934" s="2"/>
      <c r="AA934" s="2"/>
      <c r="AB934" s="2"/>
    </row>
    <row r="935" spans="1:28" ht="1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U935" s="2"/>
      <c r="V935" s="2"/>
      <c r="W935" s="2"/>
      <c r="X935" s="2"/>
      <c r="Y935" s="2"/>
      <c r="Z935" s="2"/>
      <c r="AA935" s="2"/>
      <c r="AB935" s="2"/>
    </row>
    <row r="936" spans="1:28" ht="1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U936" s="2"/>
      <c r="V936" s="2"/>
      <c r="W936" s="2"/>
      <c r="X936" s="2"/>
      <c r="Y936" s="2"/>
      <c r="Z936" s="2"/>
      <c r="AA936" s="2"/>
      <c r="AB936" s="2"/>
    </row>
    <row r="937" spans="1:28" ht="1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U937" s="2"/>
      <c r="V937" s="2"/>
      <c r="W937" s="2"/>
      <c r="X937" s="2"/>
      <c r="Y937" s="2"/>
      <c r="Z937" s="2"/>
      <c r="AA937" s="2"/>
      <c r="AB937" s="2"/>
    </row>
    <row r="938" spans="1:28" ht="1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U938" s="2"/>
      <c r="V938" s="2"/>
      <c r="W938" s="2"/>
      <c r="X938" s="2"/>
      <c r="Y938" s="2"/>
      <c r="Z938" s="2"/>
      <c r="AA938" s="2"/>
      <c r="AB938" s="2"/>
    </row>
    <row r="939" spans="1:28" ht="1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U939" s="2"/>
      <c r="V939" s="2"/>
      <c r="W939" s="2"/>
      <c r="X939" s="2"/>
      <c r="Y939" s="2"/>
      <c r="Z939" s="2"/>
      <c r="AA939" s="2"/>
      <c r="AB939" s="2"/>
    </row>
    <row r="940" spans="1:28" ht="1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U940" s="2"/>
      <c r="V940" s="2"/>
      <c r="W940" s="2"/>
      <c r="X940" s="2"/>
      <c r="Y940" s="2"/>
      <c r="Z940" s="2"/>
      <c r="AA940" s="2"/>
      <c r="AB940" s="2"/>
    </row>
    <row r="941" spans="1:28" ht="1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U941" s="2"/>
      <c r="V941" s="2"/>
      <c r="W941" s="2"/>
      <c r="X941" s="2"/>
      <c r="Y941" s="2"/>
      <c r="Z941" s="2"/>
      <c r="AA941" s="2"/>
      <c r="AB941" s="2"/>
    </row>
    <row r="942" spans="1:28" ht="1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U942" s="2"/>
      <c r="V942" s="2"/>
      <c r="W942" s="2"/>
      <c r="X942" s="2"/>
      <c r="Y942" s="2"/>
      <c r="Z942" s="2"/>
      <c r="AA942" s="2"/>
      <c r="AB942" s="2"/>
    </row>
    <row r="943" spans="1:28" ht="1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U943" s="2"/>
      <c r="V943" s="2"/>
      <c r="W943" s="2"/>
      <c r="X943" s="2"/>
      <c r="Y943" s="2"/>
      <c r="Z943" s="2"/>
      <c r="AA943" s="2"/>
      <c r="AB943" s="2"/>
    </row>
    <row r="944" spans="1:28" ht="1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U944" s="2"/>
      <c r="V944" s="2"/>
      <c r="W944" s="2"/>
      <c r="X944" s="2"/>
      <c r="Y944" s="2"/>
      <c r="Z944" s="2"/>
      <c r="AA944" s="2"/>
      <c r="AB944" s="2"/>
    </row>
    <row r="945" spans="1:28" ht="1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U945" s="2"/>
      <c r="V945" s="2"/>
      <c r="W945" s="2"/>
      <c r="X945" s="2"/>
      <c r="Y945" s="2"/>
      <c r="Z945" s="2"/>
      <c r="AA945" s="2"/>
      <c r="AB945" s="2"/>
    </row>
    <row r="946" spans="1:28" ht="1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U946" s="2"/>
      <c r="V946" s="2"/>
      <c r="W946" s="2"/>
      <c r="X946" s="2"/>
      <c r="Y946" s="2"/>
      <c r="Z946" s="2"/>
      <c r="AA946" s="2"/>
      <c r="AB946" s="2"/>
    </row>
    <row r="947" spans="1:28" ht="1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U947" s="2"/>
      <c r="V947" s="2"/>
      <c r="W947" s="2"/>
      <c r="X947" s="2"/>
      <c r="Y947" s="2"/>
      <c r="Z947" s="2"/>
      <c r="AA947" s="2"/>
      <c r="AB947" s="2"/>
    </row>
    <row r="948" spans="1:28" ht="1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U948" s="2"/>
      <c r="V948" s="2"/>
      <c r="W948" s="2"/>
      <c r="X948" s="2"/>
      <c r="Y948" s="2"/>
      <c r="Z948" s="2"/>
      <c r="AA948" s="2"/>
      <c r="AB948" s="2"/>
    </row>
    <row r="949" spans="1:28" ht="1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U949" s="2"/>
      <c r="V949" s="2"/>
      <c r="W949" s="2"/>
      <c r="X949" s="2"/>
      <c r="Y949" s="2"/>
      <c r="Z949" s="2"/>
      <c r="AA949" s="2"/>
      <c r="AB949" s="2"/>
    </row>
    <row r="950" spans="1:28" ht="1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U950" s="2"/>
      <c r="V950" s="2"/>
      <c r="W950" s="2"/>
      <c r="X950" s="2"/>
      <c r="Y950" s="2"/>
      <c r="Z950" s="2"/>
      <c r="AA950" s="2"/>
      <c r="AB950" s="2"/>
    </row>
    <row r="951" spans="1:28" ht="1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U951" s="2"/>
      <c r="V951" s="2"/>
      <c r="W951" s="2"/>
      <c r="X951" s="2"/>
      <c r="Y951" s="2"/>
      <c r="Z951" s="2"/>
      <c r="AA951" s="2"/>
      <c r="AB951" s="2"/>
    </row>
    <row r="952" spans="1:28" ht="1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U952" s="2"/>
      <c r="V952" s="2"/>
      <c r="W952" s="2"/>
      <c r="X952" s="2"/>
      <c r="Y952" s="2"/>
      <c r="Z952" s="2"/>
      <c r="AA952" s="2"/>
      <c r="AB952" s="2"/>
    </row>
    <row r="953" spans="1:28" ht="1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U953" s="2"/>
      <c r="V953" s="2"/>
      <c r="W953" s="2"/>
      <c r="X953" s="2"/>
      <c r="Y953" s="2"/>
      <c r="Z953" s="2"/>
      <c r="AA953" s="2"/>
      <c r="AB953" s="2"/>
    </row>
    <row r="954" spans="1:28" ht="1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U954" s="2"/>
      <c r="V954" s="2"/>
      <c r="W954" s="2"/>
      <c r="X954" s="2"/>
      <c r="Y954" s="2"/>
      <c r="Z954" s="2"/>
      <c r="AA954" s="2"/>
      <c r="AB954" s="2"/>
    </row>
    <row r="955" spans="1:28" ht="1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U955" s="2"/>
      <c r="V955" s="2"/>
      <c r="W955" s="2"/>
      <c r="X955" s="2"/>
      <c r="Y955" s="2"/>
      <c r="Z955" s="2"/>
      <c r="AA955" s="2"/>
      <c r="AB955" s="2"/>
    </row>
    <row r="956" spans="1:28" ht="1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U956" s="2"/>
      <c r="V956" s="2"/>
      <c r="W956" s="2"/>
      <c r="X956" s="2"/>
      <c r="Y956" s="2"/>
      <c r="Z956" s="2"/>
      <c r="AA956" s="2"/>
      <c r="AB956" s="2"/>
    </row>
    <row r="957" spans="1:28" ht="1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U957" s="2"/>
      <c r="V957" s="2"/>
      <c r="W957" s="2"/>
      <c r="X957" s="2"/>
      <c r="Y957" s="2"/>
      <c r="Z957" s="2"/>
      <c r="AA957" s="2"/>
      <c r="AB957" s="2"/>
    </row>
    <row r="958" spans="1:28" ht="1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U958" s="2"/>
      <c r="V958" s="2"/>
      <c r="W958" s="2"/>
      <c r="X958" s="2"/>
      <c r="Y958" s="2"/>
      <c r="Z958" s="2"/>
      <c r="AA958" s="2"/>
      <c r="AB958" s="2"/>
    </row>
    <row r="959" spans="1:28" ht="1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U959" s="2"/>
      <c r="V959" s="2"/>
      <c r="W959" s="2"/>
      <c r="X959" s="2"/>
      <c r="Y959" s="2"/>
      <c r="Z959" s="2"/>
      <c r="AA959" s="2"/>
      <c r="AB959" s="2"/>
    </row>
    <row r="960" spans="1:28" ht="1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U960" s="2"/>
      <c r="V960" s="2"/>
      <c r="W960" s="2"/>
      <c r="X960" s="2"/>
      <c r="Y960" s="2"/>
      <c r="Z960" s="2"/>
      <c r="AA960" s="2"/>
      <c r="AB960" s="2"/>
    </row>
    <row r="961" spans="1:28" ht="1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U961" s="2"/>
      <c r="V961" s="2"/>
      <c r="W961" s="2"/>
      <c r="X961" s="2"/>
      <c r="Y961" s="2"/>
      <c r="Z961" s="2"/>
      <c r="AA961" s="2"/>
      <c r="AB961" s="2"/>
    </row>
    <row r="962" spans="1:28" ht="18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U962" s="2"/>
      <c r="V962" s="2"/>
      <c r="W962" s="2"/>
      <c r="X962" s="2"/>
      <c r="Y962" s="2"/>
      <c r="Z962" s="2"/>
      <c r="AA962" s="2"/>
      <c r="AB962" s="2"/>
    </row>
    <row r="963" spans="1:28" ht="18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U963" s="2"/>
      <c r="V963" s="2"/>
      <c r="W963" s="2"/>
      <c r="X963" s="2"/>
      <c r="Y963" s="2"/>
      <c r="Z963" s="2"/>
      <c r="AA963" s="2"/>
      <c r="AB963" s="2"/>
    </row>
    <row r="964" spans="1:28" ht="18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U964" s="2"/>
      <c r="V964" s="2"/>
      <c r="W964" s="2"/>
      <c r="X964" s="2"/>
      <c r="Y964" s="2"/>
      <c r="Z964" s="2"/>
      <c r="AA964" s="2"/>
      <c r="AB964" s="2"/>
    </row>
    <row r="965" spans="1:28" ht="18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U965" s="2"/>
      <c r="V965" s="2"/>
      <c r="W965" s="2"/>
      <c r="X965" s="2"/>
      <c r="Y965" s="2"/>
      <c r="Z965" s="2"/>
      <c r="AA965" s="2"/>
      <c r="AB965" s="2"/>
    </row>
    <row r="966" spans="1:28" ht="18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U966" s="2"/>
      <c r="V966" s="2"/>
      <c r="W966" s="2"/>
      <c r="X966" s="2"/>
      <c r="Y966" s="2"/>
      <c r="Z966" s="2"/>
      <c r="AA966" s="2"/>
      <c r="AB966" s="2"/>
    </row>
    <row r="967" spans="1:28" ht="18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U967" s="2"/>
      <c r="V967" s="2"/>
      <c r="W967" s="2"/>
      <c r="X967" s="2"/>
      <c r="Y967" s="2"/>
      <c r="Z967" s="2"/>
      <c r="AA967" s="2"/>
      <c r="AB967" s="2"/>
    </row>
    <row r="968" spans="1:28" ht="18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U968" s="2"/>
      <c r="V968" s="2"/>
      <c r="W968" s="2"/>
      <c r="X968" s="2"/>
      <c r="Y968" s="2"/>
      <c r="Z968" s="2"/>
      <c r="AA968" s="2"/>
      <c r="AB968" s="2"/>
    </row>
    <row r="969" spans="1:28" ht="18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U969" s="2"/>
      <c r="V969" s="2"/>
      <c r="W969" s="2"/>
      <c r="X969" s="2"/>
      <c r="Y969" s="2"/>
      <c r="Z969" s="2"/>
      <c r="AA969" s="2"/>
      <c r="AB969" s="2"/>
    </row>
    <row r="970" spans="1:28" ht="18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U970" s="2"/>
      <c r="V970" s="2"/>
      <c r="W970" s="2"/>
      <c r="X970" s="2"/>
      <c r="Y970" s="2"/>
      <c r="Z970" s="2"/>
      <c r="AA970" s="2"/>
      <c r="AB970" s="2"/>
    </row>
    <row r="971" spans="1:28" ht="18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U971" s="2"/>
      <c r="V971" s="2"/>
      <c r="W971" s="2"/>
      <c r="X971" s="2"/>
      <c r="Y971" s="2"/>
      <c r="Z971" s="2"/>
      <c r="AA971" s="2"/>
      <c r="AB971" s="2"/>
    </row>
    <row r="972" spans="1:28" ht="18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U972" s="2"/>
      <c r="V972" s="2"/>
      <c r="W972" s="2"/>
      <c r="X972" s="2"/>
      <c r="Y972" s="2"/>
      <c r="Z972" s="2"/>
      <c r="AA972" s="2"/>
      <c r="AB972" s="2"/>
    </row>
    <row r="973" spans="1:28" ht="18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U973" s="2"/>
      <c r="V973" s="2"/>
      <c r="W973" s="2"/>
      <c r="X973" s="2"/>
      <c r="Y973" s="2"/>
      <c r="Z973" s="2"/>
      <c r="AA973" s="2"/>
      <c r="AB973" s="2"/>
    </row>
    <row r="974" spans="1:28" ht="18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U974" s="2"/>
      <c r="V974" s="2"/>
      <c r="W974" s="2"/>
      <c r="X974" s="2"/>
      <c r="Y974" s="2"/>
      <c r="Z974" s="2"/>
      <c r="AA974" s="2"/>
      <c r="AB974" s="2"/>
    </row>
    <row r="975" spans="1:28" ht="18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U975" s="2"/>
      <c r="V975" s="2"/>
      <c r="W975" s="2"/>
      <c r="X975" s="2"/>
      <c r="Y975" s="2"/>
      <c r="Z975" s="2"/>
      <c r="AA975" s="2"/>
      <c r="AB975" s="2"/>
    </row>
    <row r="976" spans="1:28" ht="18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U976" s="2"/>
      <c r="V976" s="2"/>
      <c r="W976" s="2"/>
      <c r="X976" s="2"/>
      <c r="Y976" s="2"/>
      <c r="Z976" s="2"/>
      <c r="AA976" s="2"/>
      <c r="AB976" s="2"/>
    </row>
    <row r="977" spans="1:28" ht="18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U977" s="2"/>
      <c r="V977" s="2"/>
      <c r="W977" s="2"/>
      <c r="X977" s="2"/>
      <c r="Y977" s="2"/>
      <c r="Z977" s="2"/>
      <c r="AA977" s="2"/>
      <c r="AB977" s="2"/>
    </row>
    <row r="978" spans="1:28" ht="18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U978" s="2"/>
      <c r="V978" s="2"/>
      <c r="W978" s="2"/>
      <c r="X978" s="2"/>
      <c r="Y978" s="2"/>
      <c r="Z978" s="2"/>
      <c r="AA978" s="2"/>
      <c r="AB978" s="2"/>
    </row>
    <row r="979" spans="1:28" ht="18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U979" s="2"/>
      <c r="V979" s="2"/>
      <c r="W979" s="2"/>
      <c r="X979" s="2"/>
      <c r="Y979" s="2"/>
      <c r="Z979" s="2"/>
      <c r="AA979" s="2"/>
      <c r="AB979" s="2"/>
    </row>
    <row r="980" spans="1:28" ht="18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U980" s="2"/>
      <c r="V980" s="2"/>
      <c r="W980" s="2"/>
      <c r="X980" s="2"/>
      <c r="Y980" s="2"/>
      <c r="Z980" s="2"/>
      <c r="AA980" s="2"/>
      <c r="AB980" s="2"/>
    </row>
    <row r="981" spans="1:28" ht="18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U981" s="2"/>
      <c r="V981" s="2"/>
      <c r="W981" s="2"/>
      <c r="X981" s="2"/>
      <c r="Y981" s="2"/>
      <c r="Z981" s="2"/>
      <c r="AA981" s="2"/>
      <c r="AB981" s="2"/>
    </row>
    <row r="982" spans="1:28" ht="18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U982" s="2"/>
      <c r="V982" s="2"/>
      <c r="W982" s="2"/>
      <c r="X982" s="2"/>
      <c r="Y982" s="2"/>
      <c r="Z982" s="2"/>
      <c r="AA982" s="2"/>
      <c r="AB982" s="2"/>
    </row>
    <row r="983" spans="1:28" ht="18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U983" s="2"/>
      <c r="V983" s="2"/>
      <c r="W983" s="2"/>
      <c r="X983" s="2"/>
      <c r="Y983" s="2"/>
      <c r="Z983" s="2"/>
      <c r="AA983" s="2"/>
      <c r="AB983" s="2"/>
    </row>
    <row r="984" spans="1:28" ht="18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U984" s="2"/>
      <c r="V984" s="2"/>
      <c r="W984" s="2"/>
      <c r="X984" s="2"/>
      <c r="Y984" s="2"/>
      <c r="Z984" s="2"/>
      <c r="AA984" s="2"/>
      <c r="AB984" s="2"/>
    </row>
    <row r="985" spans="1:28" ht="18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U985" s="2"/>
      <c r="V985" s="2"/>
      <c r="W985" s="2"/>
      <c r="X985" s="2"/>
      <c r="Y985" s="2"/>
      <c r="Z985" s="2"/>
      <c r="AA985" s="2"/>
      <c r="AB985" s="2"/>
    </row>
    <row r="986" spans="1:28" ht="18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U986" s="2"/>
      <c r="V986" s="2"/>
      <c r="W986" s="2"/>
      <c r="X986" s="2"/>
      <c r="Y986" s="2"/>
      <c r="Z986" s="2"/>
      <c r="AA986" s="2"/>
      <c r="AB986" s="2"/>
    </row>
    <row r="987" spans="1:28" ht="18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U987" s="2"/>
      <c r="V987" s="2"/>
      <c r="W987" s="2"/>
      <c r="X987" s="2"/>
      <c r="Y987" s="2"/>
      <c r="Z987" s="2"/>
      <c r="AA987" s="2"/>
      <c r="AB987" s="2"/>
    </row>
    <row r="988" spans="1:28" ht="18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U988" s="2"/>
      <c r="V988" s="2"/>
      <c r="W988" s="2"/>
      <c r="X988" s="2"/>
      <c r="Y988" s="2"/>
      <c r="Z988" s="2"/>
      <c r="AA988" s="2"/>
      <c r="AB988" s="2"/>
    </row>
    <row r="989" spans="1:28" ht="18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U989" s="2"/>
      <c r="V989" s="2"/>
      <c r="W989" s="2"/>
      <c r="X989" s="2"/>
      <c r="Y989" s="2"/>
      <c r="Z989" s="2"/>
      <c r="AA989" s="2"/>
      <c r="AB989" s="2"/>
    </row>
    <row r="990" spans="1:28" ht="18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U990" s="2"/>
      <c r="V990" s="2"/>
      <c r="W990" s="2"/>
      <c r="X990" s="2"/>
      <c r="Y990" s="2"/>
      <c r="Z990" s="2"/>
      <c r="AA990" s="2"/>
      <c r="AB990" s="2"/>
    </row>
    <row r="991" spans="1:28" ht="18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U991" s="2"/>
      <c r="V991" s="2"/>
      <c r="W991" s="2"/>
      <c r="X991" s="2"/>
      <c r="Y991" s="2"/>
      <c r="Z991" s="2"/>
      <c r="AA991" s="2"/>
      <c r="AB991" s="2"/>
    </row>
    <row r="992" spans="1:28" ht="18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U992" s="2"/>
      <c r="V992" s="2"/>
      <c r="W992" s="2"/>
      <c r="X992" s="2"/>
      <c r="Y992" s="2"/>
      <c r="Z992" s="2"/>
      <c r="AA992" s="2"/>
      <c r="AB992" s="2"/>
    </row>
    <row r="993" spans="1:28" ht="18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U993" s="2"/>
      <c r="V993" s="2"/>
      <c r="W993" s="2"/>
      <c r="X993" s="2"/>
      <c r="Y993" s="2"/>
      <c r="Z993" s="2"/>
      <c r="AA993" s="2"/>
      <c r="AB993" s="2"/>
    </row>
    <row r="994" spans="1:28" ht="18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U994" s="2"/>
      <c r="V994" s="2"/>
      <c r="W994" s="2"/>
      <c r="X994" s="2"/>
      <c r="Y994" s="2"/>
      <c r="Z994" s="2"/>
      <c r="AA994" s="2"/>
      <c r="AB994" s="2"/>
    </row>
    <row r="995" spans="1:28" ht="18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U995" s="2"/>
      <c r="V995" s="2"/>
      <c r="W995" s="2"/>
      <c r="X995" s="2"/>
      <c r="Y995" s="2"/>
      <c r="Z995" s="2"/>
      <c r="AA995" s="2"/>
      <c r="AB995" s="2"/>
    </row>
    <row r="996" spans="1:28" ht="18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U996" s="2"/>
      <c r="V996" s="2"/>
      <c r="W996" s="2"/>
      <c r="X996" s="2"/>
      <c r="Y996" s="2"/>
      <c r="Z996" s="2"/>
      <c r="AA996" s="2"/>
      <c r="AB996" s="2"/>
    </row>
    <row r="997" spans="1:28" ht="18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U997" s="2"/>
      <c r="V997" s="2"/>
      <c r="W997" s="2"/>
      <c r="X997" s="2"/>
      <c r="Y997" s="2"/>
      <c r="Z997" s="2"/>
      <c r="AA997" s="2"/>
      <c r="AB997" s="2"/>
    </row>
    <row r="998" spans="1:28" ht="18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U998" s="2"/>
      <c r="V998" s="2"/>
      <c r="W998" s="2"/>
      <c r="X998" s="2"/>
      <c r="Y998" s="2"/>
      <c r="Z998" s="2"/>
      <c r="AA998" s="2"/>
      <c r="AB998" s="2"/>
    </row>
    <row r="999" spans="1:28" ht="18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U999" s="2"/>
      <c r="V999" s="2"/>
      <c r="W999" s="2"/>
      <c r="X999" s="2"/>
      <c r="Y999" s="2"/>
      <c r="Z999" s="2"/>
      <c r="AA999" s="2"/>
      <c r="AB999" s="2"/>
    </row>
    <row r="1000" spans="1:28" ht="18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U1000" s="2"/>
      <c r="V1000" s="2"/>
      <c r="W1000" s="2"/>
      <c r="X1000" s="2"/>
      <c r="Y1000" s="2"/>
      <c r="Z1000" s="2"/>
      <c r="AA1000" s="2"/>
      <c r="AB1000" s="2"/>
    </row>
    <row r="1001" spans="1:28" ht="18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U1001" s="2"/>
      <c r="V1001" s="2"/>
      <c r="W1001" s="2"/>
      <c r="X1001" s="2"/>
      <c r="Y1001" s="2"/>
      <c r="Z1001" s="2"/>
      <c r="AA1001" s="2"/>
      <c r="AB1001" s="2"/>
    </row>
    <row r="1002" spans="1:28" ht="18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U1002" s="2"/>
      <c r="V1002" s="2"/>
      <c r="W1002" s="2"/>
      <c r="X1002" s="2"/>
      <c r="Y1002" s="2"/>
      <c r="Z1002" s="2"/>
      <c r="AA1002" s="2"/>
      <c r="AB1002" s="2"/>
    </row>
    <row r="1003" spans="1:28" ht="18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U1003" s="2"/>
      <c r="V1003" s="2"/>
      <c r="W1003" s="2"/>
      <c r="X1003" s="2"/>
      <c r="Y1003" s="2"/>
      <c r="Z1003" s="2"/>
      <c r="AA1003" s="2"/>
      <c r="AB1003" s="2"/>
    </row>
    <row r="1004" spans="1:28" ht="18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U1004" s="2"/>
      <c r="V1004" s="2"/>
      <c r="W1004" s="2"/>
      <c r="X1004" s="2"/>
      <c r="Y1004" s="2"/>
      <c r="Z1004" s="2"/>
      <c r="AA1004" s="2"/>
      <c r="AB1004" s="2"/>
    </row>
    <row r="1005" spans="1:28" ht="18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U1005" s="2"/>
      <c r="V1005" s="2"/>
      <c r="W1005" s="2"/>
      <c r="X1005" s="2"/>
      <c r="Y1005" s="2"/>
      <c r="Z1005" s="2"/>
      <c r="AA1005" s="2"/>
      <c r="AB1005" s="2"/>
    </row>
    <row r="1006" spans="1:28" ht="18.75" customHeight="1">
      <c r="A1006" s="2"/>
      <c r="B1006" s="2"/>
      <c r="C1006" s="2"/>
      <c r="D1006" s="2"/>
      <c r="E1006" s="2"/>
      <c r="F1006" s="2"/>
      <c r="G1006" s="2"/>
      <c r="K1006" s="2"/>
      <c r="L1006" s="2"/>
      <c r="M1006" s="2"/>
      <c r="N1006" s="2"/>
      <c r="O1006" s="2"/>
      <c r="P1006" s="2"/>
      <c r="U1006" s="2"/>
      <c r="V1006" s="2"/>
      <c r="W1006" s="2"/>
      <c r="X1006" s="2"/>
      <c r="Y1006" s="2"/>
      <c r="Z1006" s="2"/>
      <c r="AA1006" s="2"/>
      <c r="AB1006" s="2"/>
    </row>
  </sheetData>
  <mergeCells count="23">
    <mergeCell ref="C52:D52"/>
    <mergeCell ref="N49:N50"/>
    <mergeCell ref="M54:O54"/>
    <mergeCell ref="M53:O53"/>
    <mergeCell ref="G52:I52"/>
    <mergeCell ref="G51:I51"/>
    <mergeCell ref="G50:I50"/>
    <mergeCell ref="A1:O1"/>
    <mergeCell ref="M6:N6"/>
    <mergeCell ref="M7:N7"/>
    <mergeCell ref="M8:N8"/>
    <mergeCell ref="A10:B10"/>
    <mergeCell ref="D6:E6"/>
    <mergeCell ref="L4:O4"/>
    <mergeCell ref="L2:O2"/>
    <mergeCell ref="F6:G6"/>
    <mergeCell ref="C48:D48"/>
    <mergeCell ref="C51:D51"/>
    <mergeCell ref="L49:L50"/>
    <mergeCell ref="M49:M50"/>
    <mergeCell ref="C49:D49"/>
    <mergeCell ref="C50:D50"/>
    <mergeCell ref="G48:I48"/>
  </mergeCells>
  <phoneticPr fontId="6"/>
  <conditionalFormatting sqref="A11:B46">
    <cfRule type="expression" dxfId="6" priority="4">
      <formula>WEEKDAY(A11,2)=7</formula>
    </cfRule>
    <cfRule type="expression" dxfId="5" priority="5">
      <formula>WEEKDAY(A11,2)=6</formula>
    </cfRule>
  </conditionalFormatting>
  <conditionalFormatting sqref="H11:H46">
    <cfRule type="expression" dxfId="4" priority="1">
      <formula>OR(C11="休日", C11="有給", C11="特休")</formula>
    </cfRule>
    <cfRule type="expression" dxfId="3" priority="2">
      <formula>AND(OR(C11="出勤①", C11="出勤②", C11="休日出勤"), H11="")</formula>
    </cfRule>
  </conditionalFormatting>
  <conditionalFormatting sqref="S11:S15">
    <cfRule type="cellIs" dxfId="2" priority="3" operator="greaterThan">
      <formula>(9/24)</formula>
    </cfRule>
  </conditionalFormatting>
  <dataValidations count="1">
    <dataValidation type="list" allowBlank="1" showErrorMessage="1" sqref="C11:C46" xr:uid="{EAEBC79B-70AA-46CC-904D-793FEAC78118}">
      <formula1>"出勤①,出勤②,法定休日出勤,所定休日出勤,有給,午前有給,午後有給,欠勤,休日,特休"</formula1>
    </dataValidation>
  </dataValidations>
  <printOptions horizontalCentered="1"/>
  <pageMargins left="0.59055118110236227" right="0.39370078740157483" top="0.74803149606299213" bottom="0.35433070866141736" header="0" footer="0"/>
  <pageSetup paperSize="9" scale="7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opLeftCell="A39" workbookViewId="0">
      <selection activeCell="E26" sqref="E26"/>
    </sheetView>
  </sheetViews>
  <sheetFormatPr defaultColWidth="14.42578125" defaultRowHeight="15" customHeight="1" outlineLevelCol="1"/>
  <cols>
    <col min="1" max="1" width="2.85546875" customWidth="1"/>
    <col min="2" max="2" width="3.42578125" customWidth="1"/>
    <col min="3" max="3" width="11.42578125" customWidth="1" outlineLevel="1"/>
    <col min="4" max="26" width="8.7109375" customWidth="1"/>
  </cols>
  <sheetData>
    <row r="1" spans="1:14" ht="18.75" customHeight="1">
      <c r="A1" s="59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ht="18.75" customHeight="1">
      <c r="A2" s="74">
        <f>出勤簿!$L$2</f>
        <v>46033</v>
      </c>
      <c r="B2" s="75"/>
      <c r="C2" s="75"/>
      <c r="D2" s="75"/>
      <c r="E2" s="75"/>
      <c r="F2" s="56"/>
      <c r="G2" s="2"/>
      <c r="H2" s="2"/>
      <c r="I2" s="2"/>
      <c r="J2" s="2"/>
      <c r="K2" s="2"/>
      <c r="L2" s="2"/>
      <c r="M2" s="2"/>
      <c r="N2" s="2"/>
    </row>
    <row r="3" spans="1:14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8.75" customHeight="1">
      <c r="A4" s="2"/>
      <c r="B4" s="2"/>
      <c r="C4" s="2"/>
      <c r="D4" s="2"/>
      <c r="E4" s="2"/>
      <c r="F4" s="2"/>
      <c r="G4" s="2"/>
      <c r="H4" s="2"/>
      <c r="I4" s="2"/>
      <c r="J4" s="16"/>
      <c r="K4" s="76"/>
      <c r="L4" s="60"/>
      <c r="M4" s="16"/>
      <c r="N4" s="2"/>
    </row>
    <row r="5" spans="1:14" ht="18.75" customHeight="1">
      <c r="A5" s="2"/>
      <c r="B5" s="2"/>
      <c r="C5" s="2"/>
      <c r="D5" s="2"/>
      <c r="E5" s="17"/>
      <c r="F5" s="17"/>
      <c r="G5" s="4"/>
      <c r="H5" s="2"/>
      <c r="I5" s="2"/>
      <c r="J5" s="16"/>
      <c r="K5" s="77"/>
      <c r="L5" s="60"/>
      <c r="M5" s="2"/>
      <c r="N5" s="2"/>
    </row>
    <row r="6" spans="1:14" ht="18.75" customHeight="1">
      <c r="A6" s="2"/>
      <c r="B6" s="2"/>
      <c r="C6" s="2"/>
      <c r="D6" s="2"/>
      <c r="E6" s="4"/>
      <c r="F6" s="4"/>
      <c r="G6" s="4"/>
      <c r="H6" s="2"/>
      <c r="I6" s="2"/>
      <c r="J6" s="16"/>
      <c r="K6" s="77"/>
      <c r="L6" s="60"/>
      <c r="M6" s="2"/>
      <c r="N6" s="2"/>
    </row>
    <row r="7" spans="1:14" ht="18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8.75" customHeight="1">
      <c r="A8" s="63" t="s">
        <v>0</v>
      </c>
      <c r="B8" s="56"/>
      <c r="C8" s="8" t="s">
        <v>12</v>
      </c>
    </row>
    <row r="9" spans="1:14" ht="18.75" customHeight="1">
      <c r="A9" s="9">
        <f>A2</f>
        <v>46033</v>
      </c>
      <c r="B9" s="10">
        <f>A2</f>
        <v>46033</v>
      </c>
      <c r="C9" s="11" t="str">
        <f>IFERROR(VLOOKUP(A9,祝日一覧!$A:$B,2,FALSE),"")</f>
        <v/>
      </c>
    </row>
    <row r="10" spans="1:14" ht="18.75" customHeight="1">
      <c r="A10" s="9">
        <f t="shared" ref="A10:B10" si="0">IF(A9="","",IF(DAY(A9+1)=1,"",A9+1))</f>
        <v>46034</v>
      </c>
      <c r="B10" s="10">
        <f t="shared" si="0"/>
        <v>46034</v>
      </c>
      <c r="C10" s="11" t="str">
        <f>IFERROR(VLOOKUP(A10,祝日一覧!$A:$B,2,FALSE),"")</f>
        <v/>
      </c>
    </row>
    <row r="11" spans="1:14" ht="18.75" customHeight="1">
      <c r="A11" s="9">
        <f t="shared" ref="A11:B11" si="1">IF(A10="","",IF(DAY(A10+1)=1,"",A10+1))</f>
        <v>46035</v>
      </c>
      <c r="B11" s="10">
        <f t="shared" si="1"/>
        <v>46035</v>
      </c>
      <c r="C11" s="11" t="str">
        <f>IFERROR(VLOOKUP(A11,祝日一覧!$A:$B,2,FALSE),"")</f>
        <v/>
      </c>
    </row>
    <row r="12" spans="1:14" ht="18.75" customHeight="1">
      <c r="A12" s="9">
        <f t="shared" ref="A12:B12" si="2">IF(A11="","",IF(DAY(A11+1)=1,"",A11+1))</f>
        <v>46036</v>
      </c>
      <c r="B12" s="10">
        <f t="shared" si="2"/>
        <v>46036</v>
      </c>
      <c r="C12" s="11" t="str">
        <f>IFERROR(VLOOKUP(A12,祝日一覧!$A:$B,2,FALSE),"")</f>
        <v/>
      </c>
    </row>
    <row r="13" spans="1:14" ht="18.75" customHeight="1">
      <c r="A13" s="9">
        <f t="shared" ref="A13:B13" si="3">IF(A12="","",IF(DAY(A12+1)=1,"",A12+1))</f>
        <v>46037</v>
      </c>
      <c r="B13" s="10">
        <f t="shared" si="3"/>
        <v>46037</v>
      </c>
      <c r="C13" s="11" t="str">
        <f>IFERROR(VLOOKUP(A13,祝日一覧!$A:$B,2,FALSE),"")</f>
        <v/>
      </c>
    </row>
    <row r="14" spans="1:14" ht="18.75" customHeight="1">
      <c r="A14" s="9">
        <f t="shared" ref="A14:B14" si="4">IF(A13="","",IF(DAY(A13+1)=1,"",A13+1))</f>
        <v>46038</v>
      </c>
      <c r="B14" s="10">
        <f t="shared" si="4"/>
        <v>46038</v>
      </c>
      <c r="C14" s="11" t="str">
        <f>IFERROR(VLOOKUP(A14,祝日一覧!$A:$B,2,FALSE),"")</f>
        <v/>
      </c>
    </row>
    <row r="15" spans="1:14" ht="18.75" customHeight="1">
      <c r="A15" s="9">
        <f t="shared" ref="A15:B15" si="5">IF(A14="","",IF(DAY(A14+1)=1,"",A14+1))</f>
        <v>46039</v>
      </c>
      <c r="B15" s="10">
        <f t="shared" si="5"/>
        <v>46039</v>
      </c>
      <c r="C15" s="11" t="str">
        <f>IFERROR(VLOOKUP(A15,祝日一覧!$A:$B,2,FALSE),"")</f>
        <v/>
      </c>
    </row>
    <row r="16" spans="1:14" ht="18.75" customHeight="1">
      <c r="A16" s="9">
        <f t="shared" ref="A16:B16" si="6">IF(A15="","",IF(DAY(A15+1)=1,"",A15+1))</f>
        <v>46040</v>
      </c>
      <c r="B16" s="10">
        <f t="shared" si="6"/>
        <v>46040</v>
      </c>
      <c r="C16" s="11" t="str">
        <f>IFERROR(VLOOKUP(A16,祝日一覧!$A:$B,2,FALSE),"")</f>
        <v/>
      </c>
    </row>
    <row r="17" spans="1:3" ht="18.75" customHeight="1">
      <c r="A17" s="9">
        <f t="shared" ref="A17:B17" si="7">IF(A16="","",IF(DAY(A16+1)=1,"",A16+1))</f>
        <v>46041</v>
      </c>
      <c r="B17" s="10">
        <f t="shared" si="7"/>
        <v>46041</v>
      </c>
      <c r="C17" s="11" t="str">
        <f>IFERROR(VLOOKUP(A17,祝日一覧!$A:$B,2,FALSE),"")</f>
        <v/>
      </c>
    </row>
    <row r="18" spans="1:3" ht="18.75" customHeight="1">
      <c r="A18" s="9">
        <f t="shared" ref="A18:B18" si="8">IF(A17="","",IF(DAY(A17+1)=1,"",A17+1))</f>
        <v>46042</v>
      </c>
      <c r="B18" s="10">
        <f t="shared" si="8"/>
        <v>46042</v>
      </c>
      <c r="C18" s="11" t="str">
        <f>IFERROR(VLOOKUP(A18,祝日一覧!$A:$B,2,FALSE),"")</f>
        <v/>
      </c>
    </row>
    <row r="19" spans="1:3" ht="18.75" customHeight="1">
      <c r="A19" s="9">
        <f t="shared" ref="A19:B19" si="9">IF(A18="","",IF(DAY(A18+1)=1,"",A18+1))</f>
        <v>46043</v>
      </c>
      <c r="B19" s="10">
        <f t="shared" si="9"/>
        <v>46043</v>
      </c>
      <c r="C19" s="11" t="str">
        <f>IFERROR(VLOOKUP(A19,祝日一覧!$A:$B,2,FALSE),"")</f>
        <v/>
      </c>
    </row>
    <row r="20" spans="1:3" ht="18.75" customHeight="1">
      <c r="A20" s="9">
        <f t="shared" ref="A20:B20" si="10">IF(A19="","",IF(DAY(A19+1)=1,"",A19+1))</f>
        <v>46044</v>
      </c>
      <c r="B20" s="10">
        <f t="shared" si="10"/>
        <v>46044</v>
      </c>
      <c r="C20" s="11" t="str">
        <f>IFERROR(VLOOKUP(A20,祝日一覧!$A:$B,2,FALSE),"")</f>
        <v/>
      </c>
    </row>
    <row r="21" spans="1:3" ht="18.75" customHeight="1">
      <c r="A21" s="9">
        <f t="shared" ref="A21:B21" si="11">IF(A20="","",IF(DAY(A20+1)=1,"",A20+1))</f>
        <v>46045</v>
      </c>
      <c r="B21" s="10">
        <f t="shared" si="11"/>
        <v>46045</v>
      </c>
      <c r="C21" s="11" t="str">
        <f>IFERROR(VLOOKUP(A21,祝日一覧!$A:$B,2,FALSE),"")</f>
        <v/>
      </c>
    </row>
    <row r="22" spans="1:3" ht="18.75" customHeight="1">
      <c r="A22" s="9">
        <f t="shared" ref="A22:B22" si="12">IF(A21="","",IF(DAY(A21+1)=1,"",A21+1))</f>
        <v>46046</v>
      </c>
      <c r="B22" s="10">
        <f t="shared" si="12"/>
        <v>46046</v>
      </c>
      <c r="C22" s="11" t="str">
        <f>IFERROR(VLOOKUP(A22,祝日一覧!$A:$B,2,FALSE),"")</f>
        <v/>
      </c>
    </row>
    <row r="23" spans="1:3" ht="18.75" customHeight="1">
      <c r="A23" s="9">
        <f t="shared" ref="A23:B23" si="13">IF(A22="","",IF(DAY(A22+1)=1,"",A22+1))</f>
        <v>46047</v>
      </c>
      <c r="B23" s="10">
        <f t="shared" si="13"/>
        <v>46047</v>
      </c>
      <c r="C23" s="11" t="str">
        <f>IFERROR(VLOOKUP(A23,祝日一覧!$A:$B,2,FALSE),"")</f>
        <v/>
      </c>
    </row>
    <row r="24" spans="1:3" ht="18.75" customHeight="1">
      <c r="A24" s="9">
        <f t="shared" ref="A24:B24" si="14">IF(A23="","",IF(DAY(A23+1)=1,"",A23+1))</f>
        <v>46048</v>
      </c>
      <c r="B24" s="10">
        <f t="shared" si="14"/>
        <v>46048</v>
      </c>
      <c r="C24" s="11" t="str">
        <f>IFERROR(VLOOKUP(A24,祝日一覧!$A:$B,2,FALSE),"")</f>
        <v/>
      </c>
    </row>
    <row r="25" spans="1:3" ht="18.75" customHeight="1">
      <c r="A25" s="9">
        <f t="shared" ref="A25:B25" si="15">IF(A24="","",IF(DAY(A24+1)=1,"",A24+1))</f>
        <v>46049</v>
      </c>
      <c r="B25" s="10">
        <f t="shared" si="15"/>
        <v>46049</v>
      </c>
      <c r="C25" s="11" t="str">
        <f>IFERROR(VLOOKUP(A25,祝日一覧!$A:$B,2,FALSE),"")</f>
        <v/>
      </c>
    </row>
    <row r="26" spans="1:3" ht="18.75" customHeight="1">
      <c r="A26" s="9">
        <f t="shared" ref="A26:B26" si="16">IF(A25="","",IF(DAY(A25+1)=1,"",A25+1))</f>
        <v>46050</v>
      </c>
      <c r="B26" s="10">
        <f t="shared" si="16"/>
        <v>46050</v>
      </c>
      <c r="C26" s="11" t="str">
        <f>IFERROR(VLOOKUP(A26,祝日一覧!$A:$B,2,FALSE),"")</f>
        <v/>
      </c>
    </row>
    <row r="27" spans="1:3" ht="18.75" customHeight="1">
      <c r="A27" s="9">
        <f t="shared" ref="A27:B27" si="17">IF(A26="","",IF(DAY(A26+1)=1,"",A26+1))</f>
        <v>46051</v>
      </c>
      <c r="B27" s="10">
        <f t="shared" si="17"/>
        <v>46051</v>
      </c>
      <c r="C27" s="11" t="str">
        <f>IFERROR(VLOOKUP(A27,祝日一覧!$A:$B,2,FALSE),"")</f>
        <v/>
      </c>
    </row>
    <row r="28" spans="1:3" ht="18.75" customHeight="1">
      <c r="A28" s="9">
        <f t="shared" ref="A28:B28" si="18">IF(A27="","",IF(DAY(A27+1)=1,"",A27+1))</f>
        <v>46052</v>
      </c>
      <c r="B28" s="10">
        <f t="shared" si="18"/>
        <v>46052</v>
      </c>
      <c r="C28" s="11" t="str">
        <f>IFERROR(VLOOKUP(A28,祝日一覧!$A:$B,2,FALSE),"")</f>
        <v/>
      </c>
    </row>
    <row r="29" spans="1:3" ht="18.75" customHeight="1">
      <c r="A29" s="9">
        <f t="shared" ref="A29:B29" si="19">IF(A28="","",IF(DAY(A28+1)=1,"",A28+1))</f>
        <v>46053</v>
      </c>
      <c r="B29" s="10">
        <f t="shared" si="19"/>
        <v>46053</v>
      </c>
      <c r="C29" s="11" t="str">
        <f>IFERROR(VLOOKUP(A29,祝日一覧!$A:$B,2,FALSE),"")</f>
        <v/>
      </c>
    </row>
    <row r="30" spans="1:3" ht="18.75" customHeight="1">
      <c r="A30" s="9" t="str">
        <f t="shared" ref="A30:B30" si="20">IF(A29="","",IF(DAY(A29+1)=1,"",A29+1))</f>
        <v/>
      </c>
      <c r="B30" s="10" t="str">
        <f t="shared" si="20"/>
        <v/>
      </c>
      <c r="C30" s="11" t="str">
        <f>IFERROR(VLOOKUP(A30,祝日一覧!$A:$B,2,FALSE),"")</f>
        <v/>
      </c>
    </row>
    <row r="31" spans="1:3" ht="18.75" customHeight="1">
      <c r="A31" s="9" t="str">
        <f t="shared" ref="A31:B31" si="21">IF(A30="","",IF(DAY(A30+1)=1,"",A30+1))</f>
        <v/>
      </c>
      <c r="B31" s="10" t="str">
        <f t="shared" si="21"/>
        <v/>
      </c>
      <c r="C31" s="11" t="str">
        <f>IFERROR(VLOOKUP(A31,祝日一覧!$A:$B,2,FALSE),"")</f>
        <v/>
      </c>
    </row>
    <row r="32" spans="1:3" ht="18.75" customHeight="1">
      <c r="A32" s="9" t="str">
        <f t="shared" ref="A32:B32" si="22">IF(A31="","",IF(DAY(A31+1)=1,"",A31+1))</f>
        <v/>
      </c>
      <c r="B32" s="10" t="str">
        <f t="shared" si="22"/>
        <v/>
      </c>
      <c r="C32" s="11" t="str">
        <f>IFERROR(VLOOKUP(A32,祝日一覧!$A:$B,2,FALSE),"")</f>
        <v/>
      </c>
    </row>
    <row r="33" spans="1:3" ht="18.75" customHeight="1">
      <c r="A33" s="9" t="str">
        <f t="shared" ref="A33:B33" si="23">IF(A32="","",IF(DAY(A32+1)=1,"",A32+1))</f>
        <v/>
      </c>
      <c r="B33" s="10" t="str">
        <f t="shared" si="23"/>
        <v/>
      </c>
      <c r="C33" s="11" t="str">
        <f>IFERROR(VLOOKUP(A33,祝日一覧!$A:$B,2,FALSE),"")</f>
        <v/>
      </c>
    </row>
    <row r="34" spans="1:3" ht="18.75" customHeight="1">
      <c r="A34" s="9" t="str">
        <f t="shared" ref="A34:B34" si="24">IF(A33="","",IF(DAY(A33+1)=1,"",A33+1))</f>
        <v/>
      </c>
      <c r="B34" s="10" t="str">
        <f t="shared" si="24"/>
        <v/>
      </c>
      <c r="C34" s="11" t="str">
        <f>IFERROR(VLOOKUP(A34,祝日一覧!$A:$B,2,FALSE),"")</f>
        <v/>
      </c>
    </row>
    <row r="35" spans="1:3" ht="18.75" customHeight="1">
      <c r="A35" s="9" t="str">
        <f t="shared" ref="A35:B35" si="25">IF(A34="","",IF(DAY(A34+1)=1,"",A34+1))</f>
        <v/>
      </c>
      <c r="B35" s="10" t="str">
        <f t="shared" si="25"/>
        <v/>
      </c>
      <c r="C35" s="11" t="str">
        <f>IFERROR(VLOOKUP(A35,祝日一覧!$A:$B,2,FALSE),"")</f>
        <v/>
      </c>
    </row>
    <row r="36" spans="1:3" ht="18.75" customHeight="1">
      <c r="A36" s="9" t="str">
        <f t="shared" ref="A36:B36" si="26">IF(A35="","",IF(DAY(A35+1)=1,"",A35+1))</f>
        <v/>
      </c>
      <c r="B36" s="10" t="str">
        <f t="shared" si="26"/>
        <v/>
      </c>
      <c r="C36" s="11" t="str">
        <f>IFERROR(VLOOKUP(A36,祝日一覧!$A:$B,2,FALSE),"")</f>
        <v/>
      </c>
    </row>
    <row r="37" spans="1:3" ht="18.75" customHeight="1">
      <c r="A37" s="9" t="str">
        <f t="shared" ref="A37:B37" si="27">IF(A36="","",IF(DAY(A36+1)=1,"",A36+1))</f>
        <v/>
      </c>
      <c r="B37" s="10" t="str">
        <f t="shared" si="27"/>
        <v/>
      </c>
      <c r="C37" s="11" t="str">
        <f>IFERROR(VLOOKUP(A37,祝日一覧!$A:$B,2,FALSE),"")</f>
        <v/>
      </c>
    </row>
    <row r="38" spans="1:3" ht="18.75" customHeight="1">
      <c r="A38" s="9" t="str">
        <f t="shared" ref="A38:B38" si="28">IF(A37="","",IF(DAY(A37+1)=1,"",A37+1))</f>
        <v/>
      </c>
      <c r="B38" s="10" t="str">
        <f t="shared" si="28"/>
        <v/>
      </c>
      <c r="C38" s="11" t="str">
        <f>IFERROR(VLOOKUP(A38,祝日一覧!$A:$B,2,FALSE),"")</f>
        <v/>
      </c>
    </row>
    <row r="39" spans="1:3" ht="18.75" customHeight="1">
      <c r="A39" s="9" t="str">
        <f t="shared" ref="A39:B39" si="29">IF(A38="","",IF(DAY(A38+1)=1,"",A38+1))</f>
        <v/>
      </c>
      <c r="B39" s="10" t="str">
        <f t="shared" si="29"/>
        <v/>
      </c>
      <c r="C39" s="11" t="str">
        <f>IFERROR(VLOOKUP(A39,祝日一覧!$A:$B,2,FALSE),"")</f>
        <v/>
      </c>
    </row>
    <row r="40" spans="1:3" ht="18.75" customHeight="1">
      <c r="A40" s="13"/>
      <c r="B40" s="2"/>
      <c r="C40" s="2"/>
    </row>
    <row r="41" spans="1:3" ht="18.75" customHeight="1">
      <c r="A41" s="2"/>
      <c r="B41" s="14"/>
      <c r="C41" s="14"/>
    </row>
    <row r="42" spans="1:3" ht="18.75" customHeight="1">
      <c r="A42" s="2"/>
      <c r="B42" s="14"/>
      <c r="C42" s="14"/>
    </row>
    <row r="43" spans="1:3" ht="18.75" customHeight="1">
      <c r="A43" s="2"/>
      <c r="B43" s="2"/>
      <c r="C43" s="2"/>
    </row>
    <row r="44" spans="1:3" ht="18.75" customHeight="1">
      <c r="A44" s="2"/>
      <c r="B44" s="2"/>
      <c r="C44" s="2"/>
    </row>
    <row r="45" spans="1:3" ht="18.75" customHeight="1">
      <c r="A45" s="2"/>
      <c r="B45" s="2"/>
      <c r="C45" s="2"/>
    </row>
    <row r="46" spans="1:3" ht="18.75" customHeight="1">
      <c r="A46" s="2"/>
      <c r="B46" s="2"/>
      <c r="C46" s="2"/>
    </row>
    <row r="47" spans="1:3" ht="18.75" customHeight="1">
      <c r="A47" s="2"/>
      <c r="B47" s="2"/>
      <c r="C47" s="2"/>
    </row>
    <row r="48" spans="1:3" ht="18.75" customHeight="1">
      <c r="A48" s="2"/>
      <c r="B48" s="2"/>
      <c r="C48" s="2"/>
    </row>
    <row r="49" spans="1:3" ht="18.75" customHeight="1">
      <c r="A49" s="2"/>
      <c r="B49" s="2"/>
      <c r="C49" s="2"/>
    </row>
    <row r="50" spans="1:3" ht="18.75" customHeight="1">
      <c r="A50" s="2"/>
      <c r="B50" s="2"/>
      <c r="C50" s="2"/>
    </row>
    <row r="51" spans="1:3" ht="18.75" customHeight="1">
      <c r="A51" s="2"/>
      <c r="B51" s="2"/>
      <c r="C51" s="2"/>
    </row>
    <row r="52" spans="1:3" ht="18.75" customHeight="1">
      <c r="A52" s="2"/>
      <c r="B52" s="2"/>
      <c r="C52" s="2"/>
    </row>
    <row r="53" spans="1:3" ht="18.75" customHeight="1">
      <c r="A53" s="2"/>
      <c r="B53" s="2"/>
      <c r="C53" s="2"/>
    </row>
    <row r="54" spans="1:3" ht="18.75" customHeight="1">
      <c r="A54" s="2"/>
      <c r="B54" s="2"/>
      <c r="C54" s="2"/>
    </row>
    <row r="55" spans="1:3" ht="18.75" customHeight="1">
      <c r="A55" s="2"/>
      <c r="B55" s="2"/>
      <c r="C55" s="2"/>
    </row>
    <row r="56" spans="1:3" ht="18.75" customHeight="1">
      <c r="A56" s="2"/>
      <c r="B56" s="2"/>
      <c r="C56" s="2"/>
    </row>
    <row r="57" spans="1:3" ht="18.75" customHeight="1">
      <c r="A57" s="2"/>
      <c r="B57" s="2"/>
      <c r="C57" s="2"/>
    </row>
    <row r="58" spans="1:3" ht="18.75" customHeight="1">
      <c r="A58" s="2"/>
      <c r="B58" s="2"/>
      <c r="C58" s="2"/>
    </row>
    <row r="59" spans="1:3" ht="18.75" customHeight="1">
      <c r="A59" s="2"/>
      <c r="B59" s="2"/>
      <c r="C59" s="2"/>
    </row>
    <row r="60" spans="1:3" ht="18.75" customHeight="1">
      <c r="A60" s="2"/>
      <c r="B60" s="2"/>
      <c r="C60" s="2"/>
    </row>
    <row r="61" spans="1:3" ht="18.75" customHeight="1">
      <c r="A61" s="2"/>
      <c r="B61" s="2"/>
      <c r="C61" s="2"/>
    </row>
    <row r="62" spans="1:3" ht="18.75" customHeight="1">
      <c r="A62" s="2"/>
      <c r="B62" s="2"/>
      <c r="C62" s="2"/>
    </row>
    <row r="63" spans="1:3" ht="18.75" customHeight="1">
      <c r="A63" s="2"/>
      <c r="B63" s="2"/>
      <c r="C63" s="2"/>
    </row>
    <row r="64" spans="1:3" ht="18.75" customHeight="1">
      <c r="A64" s="2"/>
      <c r="B64" s="2"/>
      <c r="C64" s="2"/>
    </row>
    <row r="65" spans="1:3" ht="18.75" customHeight="1">
      <c r="A65" s="2"/>
      <c r="B65" s="2"/>
      <c r="C65" s="2"/>
    </row>
    <row r="66" spans="1:3" ht="18.75" customHeight="1">
      <c r="A66" s="2"/>
      <c r="B66" s="2"/>
      <c r="C66" s="2"/>
    </row>
    <row r="67" spans="1:3" ht="18.75" customHeight="1">
      <c r="A67" s="2"/>
      <c r="B67" s="2"/>
      <c r="C67" s="2"/>
    </row>
    <row r="68" spans="1:3" ht="18.75" customHeight="1">
      <c r="A68" s="2"/>
      <c r="B68" s="2"/>
      <c r="C68" s="2"/>
    </row>
    <row r="69" spans="1:3" ht="18.75" customHeight="1">
      <c r="A69" s="2"/>
      <c r="B69" s="2"/>
      <c r="C69" s="2"/>
    </row>
    <row r="70" spans="1:3" ht="18.75" customHeight="1">
      <c r="A70" s="2"/>
      <c r="B70" s="2"/>
      <c r="C70" s="2"/>
    </row>
    <row r="71" spans="1:3" ht="18.75" customHeight="1">
      <c r="A71" s="2"/>
      <c r="B71" s="2"/>
      <c r="C71" s="2"/>
    </row>
    <row r="72" spans="1:3" ht="18.75" customHeight="1">
      <c r="A72" s="2"/>
      <c r="B72" s="2"/>
      <c r="C72" s="2"/>
    </row>
    <row r="73" spans="1:3" ht="18.75" customHeight="1">
      <c r="A73" s="2"/>
      <c r="B73" s="2"/>
      <c r="C73" s="2"/>
    </row>
    <row r="74" spans="1:3" ht="18.75" customHeight="1">
      <c r="A74" s="2"/>
      <c r="B74" s="2"/>
      <c r="C74" s="2"/>
    </row>
    <row r="75" spans="1:3" ht="18.75" customHeight="1">
      <c r="A75" s="2"/>
      <c r="B75" s="2"/>
      <c r="C75" s="2"/>
    </row>
    <row r="76" spans="1:3" ht="18.75" customHeight="1">
      <c r="A76" s="2"/>
      <c r="B76" s="2"/>
      <c r="C76" s="2"/>
    </row>
    <row r="77" spans="1:3" ht="18.75" customHeight="1">
      <c r="A77" s="2"/>
      <c r="B77" s="2"/>
      <c r="C77" s="2"/>
    </row>
    <row r="78" spans="1:3" ht="18.75" customHeight="1">
      <c r="A78" s="2"/>
      <c r="B78" s="2"/>
      <c r="C78" s="2"/>
    </row>
    <row r="79" spans="1:3" ht="18.75" customHeight="1">
      <c r="A79" s="2"/>
      <c r="B79" s="2"/>
      <c r="C79" s="2"/>
    </row>
    <row r="80" spans="1:3" ht="18.75" customHeight="1">
      <c r="A80" s="2"/>
      <c r="B80" s="2"/>
      <c r="C80" s="2"/>
    </row>
    <row r="81" spans="1:3" ht="18.75" customHeight="1">
      <c r="A81" s="2"/>
      <c r="B81" s="2"/>
      <c r="C81" s="2"/>
    </row>
    <row r="82" spans="1:3" ht="18.75" customHeight="1">
      <c r="A82" s="2"/>
      <c r="B82" s="2"/>
      <c r="C82" s="2"/>
    </row>
    <row r="83" spans="1:3" ht="18.75" customHeight="1">
      <c r="A83" s="2"/>
      <c r="B83" s="2"/>
      <c r="C83" s="2"/>
    </row>
    <row r="84" spans="1:3" ht="18.75" customHeight="1">
      <c r="A84" s="2"/>
      <c r="B84" s="2"/>
      <c r="C84" s="2"/>
    </row>
    <row r="85" spans="1:3" ht="18.75" customHeight="1">
      <c r="A85" s="2"/>
      <c r="B85" s="2"/>
      <c r="C85" s="2"/>
    </row>
    <row r="86" spans="1:3" ht="18.75" customHeight="1">
      <c r="A86" s="2"/>
      <c r="B86" s="2"/>
      <c r="C86" s="2"/>
    </row>
    <row r="87" spans="1:3" ht="18.75" customHeight="1">
      <c r="A87" s="2"/>
      <c r="B87" s="2"/>
      <c r="C87" s="2"/>
    </row>
    <row r="88" spans="1:3" ht="18.75" customHeight="1">
      <c r="A88" s="2"/>
      <c r="B88" s="2"/>
      <c r="C88" s="2"/>
    </row>
    <row r="89" spans="1:3" ht="18.75" customHeight="1">
      <c r="A89" s="2"/>
      <c r="B89" s="2"/>
      <c r="C89" s="2"/>
    </row>
    <row r="90" spans="1:3" ht="18.75" customHeight="1">
      <c r="A90" s="2"/>
      <c r="B90" s="2"/>
      <c r="C90" s="2"/>
    </row>
    <row r="91" spans="1:3" ht="18.75" customHeight="1">
      <c r="A91" s="2"/>
      <c r="B91" s="2"/>
      <c r="C91" s="2"/>
    </row>
    <row r="92" spans="1:3" ht="18.75" customHeight="1">
      <c r="A92" s="2"/>
      <c r="B92" s="2"/>
      <c r="C92" s="2"/>
    </row>
    <row r="93" spans="1:3" ht="18.75" customHeight="1">
      <c r="A93" s="2"/>
      <c r="B93" s="2"/>
      <c r="C93" s="2"/>
    </row>
    <row r="94" spans="1:3" ht="18.75" customHeight="1">
      <c r="A94" s="2"/>
      <c r="B94" s="2"/>
      <c r="C94" s="2"/>
    </row>
    <row r="95" spans="1:3" ht="18.75" customHeight="1">
      <c r="A95" s="2"/>
      <c r="B95" s="2"/>
      <c r="C95" s="2"/>
    </row>
    <row r="96" spans="1:3" ht="18.75" customHeight="1">
      <c r="A96" s="2"/>
      <c r="B96" s="2"/>
      <c r="C96" s="2"/>
    </row>
    <row r="97" spans="1:3" ht="18.75" customHeight="1">
      <c r="A97" s="2"/>
      <c r="B97" s="2"/>
      <c r="C97" s="2"/>
    </row>
    <row r="98" spans="1:3" ht="18.75" customHeight="1">
      <c r="A98" s="2"/>
      <c r="B98" s="2"/>
      <c r="C98" s="2"/>
    </row>
    <row r="99" spans="1:3" ht="18.75" customHeight="1">
      <c r="A99" s="2"/>
      <c r="B99" s="2"/>
      <c r="C99" s="2"/>
    </row>
    <row r="100" spans="1:3" ht="18.75" customHeight="1">
      <c r="A100" s="2"/>
      <c r="B100" s="2"/>
      <c r="C100" s="2"/>
    </row>
    <row r="101" spans="1:3" ht="18.75" customHeight="1">
      <c r="A101" s="2"/>
      <c r="B101" s="2"/>
      <c r="C101" s="2"/>
    </row>
    <row r="102" spans="1:3" ht="18.75" customHeight="1">
      <c r="A102" s="2"/>
      <c r="B102" s="2"/>
      <c r="C102" s="2"/>
    </row>
    <row r="103" spans="1:3" ht="18.75" customHeight="1">
      <c r="A103" s="2"/>
      <c r="B103" s="2"/>
      <c r="C103" s="2"/>
    </row>
    <row r="104" spans="1:3" ht="18.75" customHeight="1">
      <c r="A104" s="2"/>
      <c r="B104" s="2"/>
      <c r="C104" s="2"/>
    </row>
    <row r="105" spans="1:3" ht="18.75" customHeight="1">
      <c r="A105" s="2"/>
      <c r="B105" s="2"/>
      <c r="C105" s="2"/>
    </row>
    <row r="106" spans="1:3" ht="18.75" customHeight="1">
      <c r="A106" s="2"/>
      <c r="B106" s="2"/>
      <c r="C106" s="2"/>
    </row>
    <row r="107" spans="1:3" ht="18.75" customHeight="1">
      <c r="A107" s="2"/>
      <c r="B107" s="2"/>
      <c r="C107" s="2"/>
    </row>
    <row r="108" spans="1:3" ht="18.75" customHeight="1">
      <c r="A108" s="2"/>
      <c r="B108" s="2"/>
      <c r="C108" s="2"/>
    </row>
    <row r="109" spans="1:3" ht="18.75" customHeight="1">
      <c r="A109" s="2"/>
      <c r="B109" s="2"/>
      <c r="C109" s="2"/>
    </row>
    <row r="110" spans="1:3" ht="18.75" customHeight="1">
      <c r="A110" s="2"/>
      <c r="B110" s="2"/>
      <c r="C110" s="2"/>
    </row>
    <row r="111" spans="1:3" ht="18.75" customHeight="1">
      <c r="A111" s="2"/>
      <c r="B111" s="2"/>
      <c r="C111" s="2"/>
    </row>
    <row r="112" spans="1:3" ht="18.75" customHeight="1">
      <c r="A112" s="2"/>
      <c r="B112" s="2"/>
      <c r="C112" s="2"/>
    </row>
    <row r="113" spans="1:3" ht="18.75" customHeight="1">
      <c r="A113" s="2"/>
      <c r="B113" s="2"/>
      <c r="C113" s="2"/>
    </row>
    <row r="114" spans="1:3" ht="18.75" customHeight="1">
      <c r="A114" s="2"/>
      <c r="B114" s="2"/>
      <c r="C114" s="2"/>
    </row>
    <row r="115" spans="1:3" ht="18.75" customHeight="1">
      <c r="A115" s="2"/>
      <c r="B115" s="2"/>
      <c r="C115" s="2"/>
    </row>
    <row r="116" spans="1:3" ht="18.75" customHeight="1">
      <c r="A116" s="2"/>
      <c r="B116" s="2"/>
      <c r="C116" s="2"/>
    </row>
    <row r="117" spans="1:3" ht="18.75" customHeight="1">
      <c r="A117" s="2"/>
      <c r="B117" s="2"/>
      <c r="C117" s="2"/>
    </row>
    <row r="118" spans="1:3" ht="18.75" customHeight="1">
      <c r="A118" s="2"/>
      <c r="B118" s="2"/>
      <c r="C118" s="2"/>
    </row>
    <row r="119" spans="1:3" ht="18.75" customHeight="1">
      <c r="A119" s="2"/>
      <c r="B119" s="2"/>
      <c r="C119" s="2"/>
    </row>
    <row r="120" spans="1:3" ht="18.75" customHeight="1">
      <c r="A120" s="2"/>
      <c r="B120" s="2"/>
      <c r="C120" s="2"/>
    </row>
    <row r="121" spans="1:3" ht="18.75" customHeight="1">
      <c r="A121" s="2"/>
      <c r="B121" s="2"/>
      <c r="C121" s="2"/>
    </row>
    <row r="122" spans="1:3" ht="18.75" customHeight="1">
      <c r="A122" s="2"/>
      <c r="B122" s="2"/>
      <c r="C122" s="2"/>
    </row>
    <row r="123" spans="1:3" ht="18.75" customHeight="1">
      <c r="A123" s="2"/>
      <c r="B123" s="2"/>
      <c r="C123" s="2"/>
    </row>
    <row r="124" spans="1:3" ht="18.75" customHeight="1">
      <c r="A124" s="2"/>
      <c r="B124" s="2"/>
      <c r="C124" s="2"/>
    </row>
    <row r="125" spans="1:3" ht="18.75" customHeight="1">
      <c r="A125" s="2"/>
      <c r="B125" s="2"/>
      <c r="C125" s="2"/>
    </row>
    <row r="126" spans="1:3" ht="18.75" customHeight="1">
      <c r="A126" s="2"/>
      <c r="B126" s="2"/>
      <c r="C126" s="2"/>
    </row>
    <row r="127" spans="1:3" ht="18.75" customHeight="1">
      <c r="A127" s="2"/>
      <c r="B127" s="2"/>
      <c r="C127" s="2"/>
    </row>
    <row r="128" spans="1:3" ht="18.75" customHeight="1">
      <c r="A128" s="2"/>
      <c r="B128" s="2"/>
      <c r="C128" s="2"/>
    </row>
    <row r="129" spans="1:3" ht="18.75" customHeight="1">
      <c r="A129" s="2"/>
      <c r="B129" s="2"/>
      <c r="C129" s="2"/>
    </row>
    <row r="130" spans="1:3" ht="18.75" customHeight="1">
      <c r="A130" s="2"/>
      <c r="B130" s="2"/>
      <c r="C130" s="2"/>
    </row>
    <row r="131" spans="1:3" ht="18.75" customHeight="1">
      <c r="A131" s="2"/>
      <c r="B131" s="2"/>
      <c r="C131" s="2"/>
    </row>
    <row r="132" spans="1:3" ht="18.75" customHeight="1">
      <c r="A132" s="2"/>
      <c r="B132" s="2"/>
      <c r="C132" s="2"/>
    </row>
    <row r="133" spans="1:3" ht="18.75" customHeight="1">
      <c r="A133" s="2"/>
      <c r="B133" s="2"/>
      <c r="C133" s="2"/>
    </row>
    <row r="134" spans="1:3" ht="18.75" customHeight="1">
      <c r="A134" s="2"/>
      <c r="B134" s="2"/>
      <c r="C134" s="2"/>
    </row>
    <row r="135" spans="1:3" ht="18.75" customHeight="1">
      <c r="A135" s="2"/>
      <c r="B135" s="2"/>
      <c r="C135" s="2"/>
    </row>
    <row r="136" spans="1:3" ht="18.75" customHeight="1">
      <c r="A136" s="2"/>
      <c r="B136" s="2"/>
      <c r="C136" s="2"/>
    </row>
    <row r="137" spans="1:3" ht="18.75" customHeight="1">
      <c r="A137" s="2"/>
      <c r="B137" s="2"/>
      <c r="C137" s="2"/>
    </row>
    <row r="138" spans="1:3" ht="18.75" customHeight="1">
      <c r="A138" s="2"/>
      <c r="B138" s="2"/>
      <c r="C138" s="2"/>
    </row>
    <row r="139" spans="1:3" ht="18.75" customHeight="1">
      <c r="A139" s="2"/>
      <c r="B139" s="2"/>
      <c r="C139" s="2"/>
    </row>
    <row r="140" spans="1:3" ht="18.75" customHeight="1">
      <c r="A140" s="2"/>
      <c r="B140" s="2"/>
      <c r="C140" s="2"/>
    </row>
    <row r="141" spans="1:3" ht="18.75" customHeight="1">
      <c r="A141" s="2"/>
      <c r="B141" s="2"/>
      <c r="C141" s="2"/>
    </row>
    <row r="142" spans="1:3" ht="18.75" customHeight="1">
      <c r="A142" s="2"/>
      <c r="B142" s="2"/>
      <c r="C142" s="2"/>
    </row>
    <row r="143" spans="1:3" ht="18.75" customHeight="1">
      <c r="A143" s="2"/>
      <c r="B143" s="2"/>
      <c r="C143" s="2"/>
    </row>
    <row r="144" spans="1:3" ht="18.75" customHeight="1">
      <c r="A144" s="2"/>
      <c r="B144" s="2"/>
      <c r="C144" s="2"/>
    </row>
    <row r="145" spans="1:3" ht="18.75" customHeight="1">
      <c r="A145" s="2"/>
      <c r="B145" s="2"/>
      <c r="C145" s="2"/>
    </row>
    <row r="146" spans="1:3" ht="18.75" customHeight="1">
      <c r="A146" s="2"/>
      <c r="B146" s="2"/>
      <c r="C146" s="2"/>
    </row>
    <row r="147" spans="1:3" ht="18.75" customHeight="1">
      <c r="A147" s="2"/>
      <c r="B147" s="2"/>
      <c r="C147" s="2"/>
    </row>
    <row r="148" spans="1:3" ht="18.75" customHeight="1">
      <c r="A148" s="2"/>
      <c r="B148" s="2"/>
      <c r="C148" s="2"/>
    </row>
    <row r="149" spans="1:3" ht="18.75" customHeight="1">
      <c r="A149" s="2"/>
      <c r="B149" s="2"/>
      <c r="C149" s="2"/>
    </row>
    <row r="150" spans="1:3" ht="18.75" customHeight="1">
      <c r="A150" s="2"/>
      <c r="B150" s="2"/>
      <c r="C150" s="2"/>
    </row>
    <row r="151" spans="1:3" ht="18.75" customHeight="1">
      <c r="A151" s="2"/>
      <c r="B151" s="2"/>
      <c r="C151" s="2"/>
    </row>
    <row r="152" spans="1:3" ht="18.75" customHeight="1">
      <c r="A152" s="2"/>
      <c r="B152" s="2"/>
      <c r="C152" s="2"/>
    </row>
    <row r="153" spans="1:3" ht="18.75" customHeight="1">
      <c r="A153" s="2"/>
      <c r="B153" s="2"/>
      <c r="C153" s="2"/>
    </row>
    <row r="154" spans="1:3" ht="18.75" customHeight="1">
      <c r="A154" s="2"/>
      <c r="B154" s="2"/>
      <c r="C154" s="2"/>
    </row>
    <row r="155" spans="1:3" ht="18.75" customHeight="1">
      <c r="A155" s="2"/>
      <c r="B155" s="2"/>
      <c r="C155" s="2"/>
    </row>
    <row r="156" spans="1:3" ht="18.75" customHeight="1">
      <c r="A156" s="2"/>
      <c r="B156" s="2"/>
      <c r="C156" s="2"/>
    </row>
    <row r="157" spans="1:3" ht="18.75" customHeight="1">
      <c r="A157" s="2"/>
      <c r="B157" s="2"/>
      <c r="C157" s="2"/>
    </row>
    <row r="158" spans="1:3" ht="18.75" customHeight="1">
      <c r="A158" s="2"/>
      <c r="B158" s="2"/>
      <c r="C158" s="2"/>
    </row>
    <row r="159" spans="1:3" ht="18.75" customHeight="1">
      <c r="A159" s="2"/>
      <c r="B159" s="2"/>
      <c r="C159" s="2"/>
    </row>
    <row r="160" spans="1:3" ht="18.75" customHeight="1">
      <c r="A160" s="2"/>
      <c r="B160" s="2"/>
      <c r="C160" s="2"/>
    </row>
    <row r="161" spans="1:3" ht="18.75" customHeight="1">
      <c r="A161" s="2"/>
      <c r="B161" s="2"/>
      <c r="C161" s="2"/>
    </row>
    <row r="162" spans="1:3" ht="18.75" customHeight="1">
      <c r="A162" s="2"/>
      <c r="B162" s="2"/>
      <c r="C162" s="2"/>
    </row>
    <row r="163" spans="1:3" ht="18.75" customHeight="1">
      <c r="A163" s="2"/>
      <c r="B163" s="2"/>
      <c r="C163" s="2"/>
    </row>
    <row r="164" spans="1:3" ht="18.75" customHeight="1">
      <c r="A164" s="2"/>
      <c r="B164" s="2"/>
      <c r="C164" s="2"/>
    </row>
    <row r="165" spans="1:3" ht="18.75" customHeight="1">
      <c r="A165" s="2"/>
      <c r="B165" s="2"/>
      <c r="C165" s="2"/>
    </row>
    <row r="166" spans="1:3" ht="18.75" customHeight="1">
      <c r="A166" s="2"/>
      <c r="B166" s="2"/>
      <c r="C166" s="2"/>
    </row>
    <row r="167" spans="1:3" ht="18.75" customHeight="1">
      <c r="A167" s="2"/>
      <c r="B167" s="2"/>
      <c r="C167" s="2"/>
    </row>
    <row r="168" spans="1:3" ht="18.75" customHeight="1">
      <c r="A168" s="2"/>
      <c r="B168" s="2"/>
      <c r="C168" s="2"/>
    </row>
    <row r="169" spans="1:3" ht="18.75" customHeight="1">
      <c r="A169" s="2"/>
      <c r="B169" s="2"/>
      <c r="C169" s="2"/>
    </row>
    <row r="170" spans="1:3" ht="18.75" customHeight="1">
      <c r="A170" s="2"/>
      <c r="B170" s="2"/>
      <c r="C170" s="2"/>
    </row>
    <row r="171" spans="1:3" ht="18.75" customHeight="1">
      <c r="A171" s="2"/>
      <c r="B171" s="2"/>
      <c r="C171" s="2"/>
    </row>
    <row r="172" spans="1:3" ht="18.75" customHeight="1">
      <c r="A172" s="2"/>
      <c r="B172" s="2"/>
      <c r="C172" s="2"/>
    </row>
    <row r="173" spans="1:3" ht="18.75" customHeight="1">
      <c r="A173" s="2"/>
      <c r="B173" s="2"/>
      <c r="C173" s="2"/>
    </row>
    <row r="174" spans="1:3" ht="18.75" customHeight="1">
      <c r="A174" s="2"/>
      <c r="B174" s="2"/>
      <c r="C174" s="2"/>
    </row>
    <row r="175" spans="1:3" ht="18.75" customHeight="1">
      <c r="A175" s="2"/>
      <c r="B175" s="2"/>
      <c r="C175" s="2"/>
    </row>
    <row r="176" spans="1:3" ht="18.75" customHeight="1">
      <c r="A176" s="2"/>
      <c r="B176" s="2"/>
      <c r="C176" s="2"/>
    </row>
    <row r="177" spans="1:3" ht="18.75" customHeight="1">
      <c r="A177" s="2"/>
      <c r="B177" s="2"/>
      <c r="C177" s="2"/>
    </row>
    <row r="178" spans="1:3" ht="18.75" customHeight="1">
      <c r="A178" s="2"/>
      <c r="B178" s="2"/>
      <c r="C178" s="2"/>
    </row>
    <row r="179" spans="1:3" ht="18.75" customHeight="1">
      <c r="A179" s="2"/>
      <c r="B179" s="2"/>
      <c r="C179" s="2"/>
    </row>
    <row r="180" spans="1:3" ht="18.75" customHeight="1">
      <c r="A180" s="2"/>
      <c r="B180" s="2"/>
      <c r="C180" s="2"/>
    </row>
    <row r="181" spans="1:3" ht="18.75" customHeight="1">
      <c r="A181" s="2"/>
      <c r="B181" s="2"/>
      <c r="C181" s="2"/>
    </row>
    <row r="182" spans="1:3" ht="18.75" customHeight="1">
      <c r="A182" s="2"/>
      <c r="B182" s="2"/>
      <c r="C182" s="2"/>
    </row>
    <row r="183" spans="1:3" ht="18.75" customHeight="1">
      <c r="A183" s="2"/>
      <c r="B183" s="2"/>
      <c r="C183" s="2"/>
    </row>
    <row r="184" spans="1:3" ht="18.75" customHeight="1">
      <c r="A184" s="2"/>
      <c r="B184" s="2"/>
      <c r="C184" s="2"/>
    </row>
    <row r="185" spans="1:3" ht="18.75" customHeight="1">
      <c r="A185" s="2"/>
      <c r="B185" s="2"/>
      <c r="C185" s="2"/>
    </row>
    <row r="186" spans="1:3" ht="18.75" customHeight="1">
      <c r="A186" s="2"/>
      <c r="B186" s="2"/>
      <c r="C186" s="2"/>
    </row>
    <row r="187" spans="1:3" ht="18.75" customHeight="1">
      <c r="A187" s="2"/>
      <c r="B187" s="2"/>
      <c r="C187" s="2"/>
    </row>
    <row r="188" spans="1:3" ht="18.75" customHeight="1">
      <c r="A188" s="2"/>
      <c r="B188" s="2"/>
      <c r="C188" s="2"/>
    </row>
    <row r="189" spans="1:3" ht="18.75" customHeight="1">
      <c r="A189" s="2"/>
      <c r="B189" s="2"/>
      <c r="C189" s="2"/>
    </row>
    <row r="190" spans="1:3" ht="18.75" customHeight="1">
      <c r="A190" s="2"/>
      <c r="B190" s="2"/>
      <c r="C190" s="2"/>
    </row>
    <row r="191" spans="1:3" ht="18.75" customHeight="1">
      <c r="A191" s="2"/>
      <c r="B191" s="2"/>
      <c r="C191" s="2"/>
    </row>
    <row r="192" spans="1:3" ht="18.75" customHeight="1">
      <c r="A192" s="2"/>
      <c r="B192" s="2"/>
      <c r="C192" s="2"/>
    </row>
    <row r="193" spans="1:3" ht="18.75" customHeight="1">
      <c r="A193" s="2"/>
      <c r="B193" s="2"/>
      <c r="C193" s="2"/>
    </row>
    <row r="194" spans="1:3" ht="18.75" customHeight="1">
      <c r="A194" s="2"/>
      <c r="B194" s="2"/>
      <c r="C194" s="2"/>
    </row>
    <row r="195" spans="1:3" ht="18.75" customHeight="1">
      <c r="A195" s="2"/>
      <c r="B195" s="2"/>
      <c r="C195" s="2"/>
    </row>
    <row r="196" spans="1:3" ht="18.75" customHeight="1">
      <c r="A196" s="2"/>
      <c r="B196" s="2"/>
      <c r="C196" s="2"/>
    </row>
    <row r="197" spans="1:3" ht="18.75" customHeight="1">
      <c r="A197" s="2"/>
      <c r="B197" s="2"/>
      <c r="C197" s="2"/>
    </row>
    <row r="198" spans="1:3" ht="18.75" customHeight="1">
      <c r="A198" s="2"/>
      <c r="B198" s="2"/>
      <c r="C198" s="2"/>
    </row>
    <row r="199" spans="1:3" ht="18.75" customHeight="1">
      <c r="A199" s="2"/>
      <c r="B199" s="2"/>
      <c r="C199" s="2"/>
    </row>
    <row r="200" spans="1:3" ht="18.75" customHeight="1">
      <c r="A200" s="2"/>
      <c r="B200" s="2"/>
      <c r="C200" s="2"/>
    </row>
    <row r="201" spans="1:3" ht="18.75" customHeight="1">
      <c r="A201" s="2"/>
      <c r="B201" s="2"/>
      <c r="C201" s="2"/>
    </row>
    <row r="202" spans="1:3" ht="18.75" customHeight="1">
      <c r="A202" s="2"/>
      <c r="B202" s="2"/>
      <c r="C202" s="2"/>
    </row>
    <row r="203" spans="1:3" ht="18.75" customHeight="1">
      <c r="A203" s="2"/>
      <c r="B203" s="2"/>
      <c r="C203" s="2"/>
    </row>
    <row r="204" spans="1:3" ht="18.75" customHeight="1">
      <c r="A204" s="2"/>
      <c r="B204" s="2"/>
      <c r="C204" s="2"/>
    </row>
    <row r="205" spans="1:3" ht="18.75" customHeight="1">
      <c r="A205" s="2"/>
      <c r="B205" s="2"/>
      <c r="C205" s="2"/>
    </row>
    <row r="206" spans="1:3" ht="18.75" customHeight="1">
      <c r="A206" s="2"/>
      <c r="B206" s="2"/>
      <c r="C206" s="2"/>
    </row>
    <row r="207" spans="1:3" ht="18.75" customHeight="1">
      <c r="A207" s="2"/>
      <c r="B207" s="2"/>
      <c r="C207" s="2"/>
    </row>
    <row r="208" spans="1:3" ht="18.75" customHeight="1">
      <c r="A208" s="2"/>
      <c r="B208" s="2"/>
      <c r="C208" s="2"/>
    </row>
    <row r="209" spans="1:3" ht="18.75" customHeight="1">
      <c r="A209" s="2"/>
      <c r="B209" s="2"/>
      <c r="C209" s="2"/>
    </row>
    <row r="210" spans="1:3" ht="18.75" customHeight="1">
      <c r="A210" s="2"/>
      <c r="B210" s="2"/>
      <c r="C210" s="2"/>
    </row>
    <row r="211" spans="1:3" ht="18.75" customHeight="1">
      <c r="A211" s="2"/>
      <c r="B211" s="2"/>
      <c r="C211" s="2"/>
    </row>
    <row r="212" spans="1:3" ht="18.75" customHeight="1">
      <c r="A212" s="2"/>
      <c r="B212" s="2"/>
      <c r="C212" s="2"/>
    </row>
    <row r="213" spans="1:3" ht="18.75" customHeight="1">
      <c r="A213" s="2"/>
      <c r="B213" s="2"/>
      <c r="C213" s="2"/>
    </row>
    <row r="214" spans="1:3" ht="18.75" customHeight="1">
      <c r="A214" s="2"/>
      <c r="B214" s="2"/>
      <c r="C214" s="2"/>
    </row>
    <row r="215" spans="1:3" ht="18.75" customHeight="1">
      <c r="A215" s="2"/>
      <c r="B215" s="2"/>
      <c r="C215" s="2"/>
    </row>
    <row r="216" spans="1:3" ht="18.75" customHeight="1">
      <c r="A216" s="2"/>
      <c r="B216" s="2"/>
      <c r="C216" s="2"/>
    </row>
    <row r="217" spans="1:3" ht="18.75" customHeight="1">
      <c r="A217" s="2"/>
      <c r="B217" s="2"/>
      <c r="C217" s="2"/>
    </row>
    <row r="218" spans="1:3" ht="18.75" customHeight="1">
      <c r="A218" s="2"/>
      <c r="B218" s="2"/>
      <c r="C218" s="2"/>
    </row>
    <row r="219" spans="1:3" ht="18.75" customHeight="1">
      <c r="A219" s="2"/>
      <c r="B219" s="2"/>
      <c r="C219" s="2"/>
    </row>
    <row r="220" spans="1:3" ht="18.75" customHeight="1">
      <c r="A220" s="2"/>
      <c r="B220" s="2"/>
      <c r="C220" s="2"/>
    </row>
    <row r="221" spans="1:3" ht="18.75" customHeight="1">
      <c r="A221" s="2"/>
      <c r="B221" s="2"/>
      <c r="C221" s="2"/>
    </row>
    <row r="222" spans="1:3" ht="18.75" customHeight="1">
      <c r="A222" s="2"/>
      <c r="B222" s="2"/>
      <c r="C222" s="2"/>
    </row>
    <row r="223" spans="1:3" ht="18.75" customHeight="1">
      <c r="A223" s="2"/>
      <c r="B223" s="2"/>
      <c r="C223" s="2"/>
    </row>
    <row r="224" spans="1:3" ht="18.75" customHeight="1">
      <c r="A224" s="2"/>
      <c r="B224" s="2"/>
      <c r="C224" s="2"/>
    </row>
    <row r="225" spans="1:3" ht="18.75" customHeight="1">
      <c r="A225" s="2"/>
      <c r="B225" s="2"/>
      <c r="C225" s="2"/>
    </row>
    <row r="226" spans="1:3" ht="18.75" customHeight="1">
      <c r="A226" s="2"/>
      <c r="B226" s="2"/>
      <c r="C226" s="2"/>
    </row>
    <row r="227" spans="1:3" ht="18.75" customHeight="1">
      <c r="A227" s="2"/>
      <c r="B227" s="2"/>
      <c r="C227" s="2"/>
    </row>
    <row r="228" spans="1:3" ht="18.75" customHeight="1">
      <c r="A228" s="2"/>
      <c r="B228" s="2"/>
      <c r="C228" s="2"/>
    </row>
    <row r="229" spans="1:3" ht="18.75" customHeight="1">
      <c r="A229" s="2"/>
      <c r="B229" s="2"/>
      <c r="C229" s="2"/>
    </row>
    <row r="230" spans="1:3" ht="18.75" customHeight="1">
      <c r="A230" s="2"/>
      <c r="B230" s="2"/>
      <c r="C230" s="2"/>
    </row>
    <row r="231" spans="1:3" ht="18.75" customHeight="1">
      <c r="A231" s="2"/>
      <c r="B231" s="2"/>
      <c r="C231" s="2"/>
    </row>
    <row r="232" spans="1:3" ht="18.75" customHeight="1">
      <c r="A232" s="2"/>
      <c r="B232" s="2"/>
      <c r="C232" s="2"/>
    </row>
    <row r="233" spans="1:3" ht="18.75" customHeight="1">
      <c r="A233" s="2"/>
      <c r="B233" s="2"/>
      <c r="C233" s="2"/>
    </row>
    <row r="234" spans="1:3" ht="18.75" customHeight="1">
      <c r="A234" s="2"/>
      <c r="B234" s="2"/>
      <c r="C234" s="2"/>
    </row>
    <row r="235" spans="1:3" ht="18.75" customHeight="1">
      <c r="A235" s="2"/>
      <c r="B235" s="2"/>
      <c r="C235" s="2"/>
    </row>
    <row r="236" spans="1:3" ht="18.75" customHeight="1">
      <c r="A236" s="2"/>
      <c r="B236" s="2"/>
      <c r="C236" s="2"/>
    </row>
    <row r="237" spans="1:3" ht="18.75" customHeight="1">
      <c r="A237" s="2"/>
      <c r="B237" s="2"/>
      <c r="C237" s="2"/>
    </row>
    <row r="238" spans="1:3" ht="18.75" customHeight="1">
      <c r="A238" s="2"/>
      <c r="B238" s="2"/>
      <c r="C238" s="2"/>
    </row>
    <row r="239" spans="1:3" ht="18.75" customHeight="1">
      <c r="A239" s="2"/>
      <c r="B239" s="2"/>
      <c r="C239" s="2"/>
    </row>
    <row r="240" spans="1:3" ht="18.75" customHeight="1">
      <c r="A240" s="2"/>
      <c r="B240" s="2"/>
      <c r="C240" s="2"/>
    </row>
    <row r="241" spans="1:3" ht="18.75" customHeight="1">
      <c r="A241" s="2"/>
      <c r="B241" s="2"/>
      <c r="C241" s="2"/>
    </row>
    <row r="242" spans="1:3" ht="18.75" customHeight="1">
      <c r="A242" s="2"/>
      <c r="B242" s="2"/>
      <c r="C242" s="2"/>
    </row>
    <row r="243" spans="1:3" ht="18.75" customHeight="1">
      <c r="A243" s="2"/>
      <c r="B243" s="2"/>
      <c r="C243" s="2"/>
    </row>
    <row r="244" spans="1:3" ht="18.75" customHeight="1">
      <c r="A244" s="2"/>
      <c r="B244" s="2"/>
      <c r="C244" s="2"/>
    </row>
    <row r="245" spans="1:3" ht="18.75" customHeight="1">
      <c r="A245" s="2"/>
      <c r="B245" s="2"/>
      <c r="C245" s="2"/>
    </row>
    <row r="246" spans="1:3" ht="18.75" customHeight="1">
      <c r="A246" s="2"/>
      <c r="B246" s="2"/>
      <c r="C246" s="2"/>
    </row>
    <row r="247" spans="1:3" ht="18.75" customHeight="1">
      <c r="A247" s="2"/>
      <c r="B247" s="2"/>
      <c r="C247" s="2"/>
    </row>
    <row r="248" spans="1:3" ht="18.75" customHeight="1">
      <c r="A248" s="2"/>
      <c r="B248" s="2"/>
      <c r="C248" s="2"/>
    </row>
    <row r="249" spans="1:3" ht="18.75" customHeight="1">
      <c r="A249" s="2"/>
      <c r="B249" s="2"/>
      <c r="C249" s="2"/>
    </row>
    <row r="250" spans="1:3" ht="18.75" customHeight="1">
      <c r="A250" s="2"/>
      <c r="B250" s="2"/>
      <c r="C250" s="2"/>
    </row>
    <row r="251" spans="1:3" ht="18.75" customHeight="1">
      <c r="A251" s="2"/>
      <c r="B251" s="2"/>
      <c r="C251" s="2"/>
    </row>
    <row r="252" spans="1:3" ht="18.75" customHeight="1">
      <c r="A252" s="2"/>
      <c r="B252" s="2"/>
      <c r="C252" s="2"/>
    </row>
    <row r="253" spans="1:3" ht="18.75" customHeight="1">
      <c r="A253" s="2"/>
      <c r="B253" s="2"/>
      <c r="C253" s="2"/>
    </row>
    <row r="254" spans="1:3" ht="18.75" customHeight="1">
      <c r="A254" s="2"/>
      <c r="B254" s="2"/>
      <c r="C254" s="2"/>
    </row>
    <row r="255" spans="1:3" ht="18.75" customHeight="1">
      <c r="A255" s="2"/>
      <c r="B255" s="2"/>
      <c r="C255" s="2"/>
    </row>
    <row r="256" spans="1:3" ht="18.75" customHeight="1">
      <c r="A256" s="2"/>
      <c r="B256" s="2"/>
      <c r="C256" s="2"/>
    </row>
    <row r="257" spans="1:3" ht="18.75" customHeight="1">
      <c r="A257" s="2"/>
      <c r="B257" s="2"/>
      <c r="C257" s="2"/>
    </row>
    <row r="258" spans="1:3" ht="18.75" customHeight="1">
      <c r="A258" s="2"/>
      <c r="B258" s="2"/>
      <c r="C258" s="2"/>
    </row>
    <row r="259" spans="1:3" ht="18.75" customHeight="1">
      <c r="A259" s="2"/>
      <c r="B259" s="2"/>
      <c r="C259" s="2"/>
    </row>
    <row r="260" spans="1:3" ht="18.75" customHeight="1">
      <c r="A260" s="2"/>
      <c r="B260" s="2"/>
      <c r="C260" s="2"/>
    </row>
    <row r="261" spans="1:3" ht="18.75" customHeight="1">
      <c r="A261" s="2"/>
      <c r="B261" s="2"/>
      <c r="C261" s="2"/>
    </row>
    <row r="262" spans="1:3" ht="18.75" customHeight="1">
      <c r="A262" s="2"/>
      <c r="B262" s="2"/>
      <c r="C262" s="2"/>
    </row>
    <row r="263" spans="1:3" ht="18.75" customHeight="1">
      <c r="A263" s="2"/>
      <c r="B263" s="2"/>
      <c r="C263" s="2"/>
    </row>
    <row r="264" spans="1:3" ht="18.75" customHeight="1">
      <c r="A264" s="2"/>
      <c r="B264" s="2"/>
      <c r="C264" s="2"/>
    </row>
    <row r="265" spans="1:3" ht="18.75" customHeight="1">
      <c r="A265" s="2"/>
      <c r="B265" s="2"/>
      <c r="C265" s="2"/>
    </row>
    <row r="266" spans="1:3" ht="18.75" customHeight="1">
      <c r="A266" s="2"/>
      <c r="B266" s="2"/>
      <c r="C266" s="2"/>
    </row>
    <row r="267" spans="1:3" ht="18.75" customHeight="1">
      <c r="A267" s="2"/>
      <c r="B267" s="2"/>
      <c r="C267" s="2"/>
    </row>
    <row r="268" spans="1:3" ht="18.75" customHeight="1">
      <c r="A268" s="2"/>
      <c r="B268" s="2"/>
      <c r="C268" s="2"/>
    </row>
    <row r="269" spans="1:3" ht="18.75" customHeight="1">
      <c r="A269" s="2"/>
      <c r="B269" s="2"/>
      <c r="C269" s="2"/>
    </row>
    <row r="270" spans="1:3" ht="18.75" customHeight="1">
      <c r="A270" s="2"/>
      <c r="B270" s="2"/>
      <c r="C270" s="2"/>
    </row>
    <row r="271" spans="1:3" ht="18.75" customHeight="1">
      <c r="A271" s="2"/>
      <c r="B271" s="2"/>
      <c r="C271" s="2"/>
    </row>
    <row r="272" spans="1:3" ht="18.75" customHeight="1">
      <c r="A272" s="2"/>
      <c r="B272" s="2"/>
      <c r="C272" s="2"/>
    </row>
    <row r="273" spans="1:3" ht="18.75" customHeight="1">
      <c r="A273" s="2"/>
      <c r="B273" s="2"/>
      <c r="C273" s="2"/>
    </row>
    <row r="274" spans="1:3" ht="18.75" customHeight="1">
      <c r="A274" s="2"/>
      <c r="B274" s="2"/>
      <c r="C274" s="2"/>
    </row>
    <row r="275" spans="1:3" ht="18.75" customHeight="1">
      <c r="A275" s="2"/>
      <c r="B275" s="2"/>
      <c r="C275" s="2"/>
    </row>
    <row r="276" spans="1:3" ht="18.75" customHeight="1">
      <c r="A276" s="2"/>
      <c r="B276" s="2"/>
      <c r="C276" s="2"/>
    </row>
    <row r="277" spans="1:3" ht="18.75" customHeight="1">
      <c r="A277" s="2"/>
      <c r="B277" s="2"/>
      <c r="C277" s="2"/>
    </row>
    <row r="278" spans="1:3" ht="18.75" customHeight="1">
      <c r="A278" s="2"/>
      <c r="B278" s="2"/>
      <c r="C278" s="2"/>
    </row>
    <row r="279" spans="1:3" ht="18.75" customHeight="1">
      <c r="A279" s="2"/>
      <c r="B279" s="2"/>
      <c r="C279" s="2"/>
    </row>
    <row r="280" spans="1:3" ht="18.75" customHeight="1">
      <c r="A280" s="2"/>
      <c r="B280" s="2"/>
      <c r="C280" s="2"/>
    </row>
    <row r="281" spans="1:3" ht="18.75" customHeight="1">
      <c r="A281" s="2"/>
      <c r="B281" s="2"/>
      <c r="C281" s="2"/>
    </row>
    <row r="282" spans="1:3" ht="18.75" customHeight="1">
      <c r="A282" s="2"/>
      <c r="B282" s="2"/>
      <c r="C282" s="2"/>
    </row>
    <row r="283" spans="1:3" ht="18.75" customHeight="1">
      <c r="A283" s="2"/>
      <c r="B283" s="2"/>
      <c r="C283" s="2"/>
    </row>
    <row r="284" spans="1:3" ht="18.75" customHeight="1">
      <c r="A284" s="2"/>
      <c r="B284" s="2"/>
      <c r="C284" s="2"/>
    </row>
    <row r="285" spans="1:3" ht="18.75" customHeight="1">
      <c r="A285" s="2"/>
      <c r="B285" s="2"/>
      <c r="C285" s="2"/>
    </row>
    <row r="286" spans="1:3" ht="18.75" customHeight="1">
      <c r="A286" s="2"/>
      <c r="B286" s="2"/>
      <c r="C286" s="2"/>
    </row>
    <row r="287" spans="1:3" ht="18.75" customHeight="1">
      <c r="A287" s="2"/>
      <c r="B287" s="2"/>
      <c r="C287" s="2"/>
    </row>
    <row r="288" spans="1:3" ht="18.75" customHeight="1">
      <c r="A288" s="2"/>
      <c r="B288" s="2"/>
      <c r="C288" s="2"/>
    </row>
    <row r="289" spans="1:3" ht="18.75" customHeight="1">
      <c r="A289" s="2"/>
      <c r="B289" s="2"/>
      <c r="C289" s="2"/>
    </row>
    <row r="290" spans="1:3" ht="18.75" customHeight="1">
      <c r="A290" s="2"/>
      <c r="B290" s="2"/>
      <c r="C290" s="2"/>
    </row>
    <row r="291" spans="1:3" ht="18.75" customHeight="1">
      <c r="A291" s="2"/>
      <c r="B291" s="2"/>
      <c r="C291" s="2"/>
    </row>
    <row r="292" spans="1:3" ht="18.75" customHeight="1">
      <c r="A292" s="2"/>
      <c r="B292" s="2"/>
      <c r="C292" s="2"/>
    </row>
    <row r="293" spans="1:3" ht="18.75" customHeight="1">
      <c r="A293" s="2"/>
      <c r="B293" s="2"/>
      <c r="C293" s="2"/>
    </row>
    <row r="294" spans="1:3" ht="18.75" customHeight="1">
      <c r="A294" s="2"/>
      <c r="B294" s="2"/>
      <c r="C294" s="2"/>
    </row>
    <row r="295" spans="1:3" ht="18.75" customHeight="1">
      <c r="A295" s="2"/>
      <c r="B295" s="2"/>
      <c r="C295" s="2"/>
    </row>
    <row r="296" spans="1:3" ht="18.75" customHeight="1">
      <c r="A296" s="2"/>
      <c r="B296" s="2"/>
      <c r="C296" s="2"/>
    </row>
    <row r="297" spans="1:3" ht="18.75" customHeight="1">
      <c r="A297" s="2"/>
      <c r="B297" s="2"/>
      <c r="C297" s="2"/>
    </row>
    <row r="298" spans="1:3" ht="18.75" customHeight="1">
      <c r="A298" s="2"/>
      <c r="B298" s="2"/>
      <c r="C298" s="2"/>
    </row>
    <row r="299" spans="1:3" ht="18.75" customHeight="1">
      <c r="A299" s="2"/>
      <c r="B299" s="2"/>
      <c r="C299" s="2"/>
    </row>
    <row r="300" spans="1:3" ht="18.75" customHeight="1">
      <c r="A300" s="2"/>
      <c r="B300" s="2"/>
      <c r="C300" s="2"/>
    </row>
    <row r="301" spans="1:3" ht="18.75" customHeight="1">
      <c r="A301" s="2"/>
      <c r="B301" s="2"/>
      <c r="C301" s="2"/>
    </row>
    <row r="302" spans="1:3" ht="18.75" customHeight="1">
      <c r="A302" s="2"/>
      <c r="B302" s="2"/>
      <c r="C302" s="2"/>
    </row>
    <row r="303" spans="1:3" ht="18.75" customHeight="1">
      <c r="A303" s="2"/>
      <c r="B303" s="2"/>
      <c r="C303" s="2"/>
    </row>
    <row r="304" spans="1:3" ht="18.75" customHeight="1">
      <c r="A304" s="2"/>
      <c r="B304" s="2"/>
      <c r="C304" s="2"/>
    </row>
    <row r="305" spans="1:3" ht="18.75" customHeight="1">
      <c r="A305" s="2"/>
      <c r="B305" s="2"/>
      <c r="C305" s="2"/>
    </row>
    <row r="306" spans="1:3" ht="18.75" customHeight="1">
      <c r="A306" s="2"/>
      <c r="B306" s="2"/>
      <c r="C306" s="2"/>
    </row>
    <row r="307" spans="1:3" ht="18.75" customHeight="1">
      <c r="A307" s="2"/>
      <c r="B307" s="2"/>
      <c r="C307" s="2"/>
    </row>
    <row r="308" spans="1:3" ht="18.75" customHeight="1">
      <c r="A308" s="2"/>
      <c r="B308" s="2"/>
      <c r="C308" s="2"/>
    </row>
    <row r="309" spans="1:3" ht="18.75" customHeight="1">
      <c r="A309" s="2"/>
      <c r="B309" s="2"/>
      <c r="C309" s="2"/>
    </row>
    <row r="310" spans="1:3" ht="18.75" customHeight="1">
      <c r="A310" s="2"/>
      <c r="B310" s="2"/>
      <c r="C310" s="2"/>
    </row>
    <row r="311" spans="1:3" ht="18.75" customHeight="1">
      <c r="A311" s="2"/>
      <c r="B311" s="2"/>
      <c r="C311" s="2"/>
    </row>
    <row r="312" spans="1:3" ht="18.75" customHeight="1">
      <c r="A312" s="2"/>
      <c r="B312" s="2"/>
      <c r="C312" s="2"/>
    </row>
    <row r="313" spans="1:3" ht="18.75" customHeight="1">
      <c r="A313" s="2"/>
      <c r="B313" s="2"/>
      <c r="C313" s="2"/>
    </row>
    <row r="314" spans="1:3" ht="18.75" customHeight="1">
      <c r="A314" s="2"/>
      <c r="B314" s="2"/>
      <c r="C314" s="2"/>
    </row>
    <row r="315" spans="1:3" ht="18.75" customHeight="1">
      <c r="A315" s="2"/>
      <c r="B315" s="2"/>
      <c r="C315" s="2"/>
    </row>
    <row r="316" spans="1:3" ht="18.75" customHeight="1">
      <c r="A316" s="2"/>
      <c r="B316" s="2"/>
      <c r="C316" s="2"/>
    </row>
    <row r="317" spans="1:3" ht="18.75" customHeight="1">
      <c r="A317" s="2"/>
      <c r="B317" s="2"/>
      <c r="C317" s="2"/>
    </row>
    <row r="318" spans="1:3" ht="18.75" customHeight="1">
      <c r="A318" s="2"/>
      <c r="B318" s="2"/>
      <c r="C318" s="2"/>
    </row>
    <row r="319" spans="1:3" ht="18.75" customHeight="1">
      <c r="A319" s="2"/>
      <c r="B319" s="2"/>
      <c r="C319" s="2"/>
    </row>
    <row r="320" spans="1:3" ht="18.75" customHeight="1">
      <c r="A320" s="2"/>
      <c r="B320" s="2"/>
      <c r="C320" s="2"/>
    </row>
    <row r="321" spans="1:3" ht="18.75" customHeight="1">
      <c r="A321" s="2"/>
      <c r="B321" s="2"/>
      <c r="C321" s="2"/>
    </row>
    <row r="322" spans="1:3" ht="18.75" customHeight="1">
      <c r="A322" s="2"/>
      <c r="B322" s="2"/>
      <c r="C322" s="2"/>
    </row>
    <row r="323" spans="1:3" ht="18.75" customHeight="1">
      <c r="A323" s="2"/>
      <c r="B323" s="2"/>
      <c r="C323" s="2"/>
    </row>
    <row r="324" spans="1:3" ht="18.75" customHeight="1">
      <c r="A324" s="2"/>
      <c r="B324" s="2"/>
      <c r="C324" s="2"/>
    </row>
    <row r="325" spans="1:3" ht="18.75" customHeight="1">
      <c r="A325" s="2"/>
      <c r="B325" s="2"/>
      <c r="C325" s="2"/>
    </row>
    <row r="326" spans="1:3" ht="18.75" customHeight="1">
      <c r="A326" s="2"/>
      <c r="B326" s="2"/>
      <c r="C326" s="2"/>
    </row>
    <row r="327" spans="1:3" ht="18.75" customHeight="1">
      <c r="A327" s="2"/>
      <c r="B327" s="2"/>
      <c r="C327" s="2"/>
    </row>
    <row r="328" spans="1:3" ht="18.75" customHeight="1">
      <c r="A328" s="2"/>
      <c r="B328" s="2"/>
      <c r="C328" s="2"/>
    </row>
    <row r="329" spans="1:3" ht="18.75" customHeight="1">
      <c r="A329" s="2"/>
      <c r="B329" s="2"/>
      <c r="C329" s="2"/>
    </row>
    <row r="330" spans="1:3" ht="18.75" customHeight="1">
      <c r="A330" s="2"/>
      <c r="B330" s="2"/>
      <c r="C330" s="2"/>
    </row>
    <row r="331" spans="1:3" ht="18.75" customHeight="1">
      <c r="A331" s="2"/>
      <c r="B331" s="2"/>
      <c r="C331" s="2"/>
    </row>
    <row r="332" spans="1:3" ht="18.75" customHeight="1">
      <c r="A332" s="2"/>
      <c r="B332" s="2"/>
      <c r="C332" s="2"/>
    </row>
    <row r="333" spans="1:3" ht="18.75" customHeight="1">
      <c r="A333" s="2"/>
      <c r="B333" s="2"/>
      <c r="C333" s="2"/>
    </row>
    <row r="334" spans="1:3" ht="18.75" customHeight="1">
      <c r="A334" s="2"/>
      <c r="B334" s="2"/>
      <c r="C334" s="2"/>
    </row>
    <row r="335" spans="1:3" ht="18.75" customHeight="1">
      <c r="A335" s="2"/>
      <c r="B335" s="2"/>
      <c r="C335" s="2"/>
    </row>
    <row r="336" spans="1:3" ht="18.75" customHeight="1">
      <c r="A336" s="2"/>
      <c r="B336" s="2"/>
      <c r="C336" s="2"/>
    </row>
    <row r="337" spans="1:3" ht="18.75" customHeight="1">
      <c r="A337" s="2"/>
      <c r="B337" s="2"/>
      <c r="C337" s="2"/>
    </row>
    <row r="338" spans="1:3" ht="18.75" customHeight="1">
      <c r="A338" s="2"/>
      <c r="B338" s="2"/>
      <c r="C338" s="2"/>
    </row>
    <row r="339" spans="1:3" ht="18.75" customHeight="1">
      <c r="A339" s="2"/>
      <c r="B339" s="2"/>
      <c r="C339" s="2"/>
    </row>
    <row r="340" spans="1:3" ht="18.75" customHeight="1">
      <c r="A340" s="2"/>
      <c r="B340" s="2"/>
      <c r="C340" s="2"/>
    </row>
    <row r="341" spans="1:3" ht="18.75" customHeight="1">
      <c r="A341" s="2"/>
      <c r="B341" s="2"/>
      <c r="C341" s="2"/>
    </row>
    <row r="342" spans="1:3" ht="18.75" customHeight="1">
      <c r="A342" s="2"/>
      <c r="B342" s="2"/>
      <c r="C342" s="2"/>
    </row>
    <row r="343" spans="1:3" ht="18.75" customHeight="1">
      <c r="A343" s="2"/>
      <c r="B343" s="2"/>
      <c r="C343" s="2"/>
    </row>
    <row r="344" spans="1:3" ht="18.75" customHeight="1">
      <c r="A344" s="2"/>
      <c r="B344" s="2"/>
      <c r="C344" s="2"/>
    </row>
    <row r="345" spans="1:3" ht="18.75" customHeight="1">
      <c r="A345" s="2"/>
      <c r="B345" s="2"/>
      <c r="C345" s="2"/>
    </row>
    <row r="346" spans="1:3" ht="18.75" customHeight="1">
      <c r="A346" s="2"/>
      <c r="B346" s="2"/>
      <c r="C346" s="2"/>
    </row>
    <row r="347" spans="1:3" ht="18.75" customHeight="1">
      <c r="A347" s="2"/>
      <c r="B347" s="2"/>
      <c r="C347" s="2"/>
    </row>
    <row r="348" spans="1:3" ht="18.75" customHeight="1">
      <c r="A348" s="2"/>
      <c r="B348" s="2"/>
      <c r="C348" s="2"/>
    </row>
    <row r="349" spans="1:3" ht="18.75" customHeight="1">
      <c r="A349" s="2"/>
      <c r="B349" s="2"/>
      <c r="C349" s="2"/>
    </row>
    <row r="350" spans="1:3" ht="18.75" customHeight="1">
      <c r="A350" s="2"/>
      <c r="B350" s="2"/>
      <c r="C350" s="2"/>
    </row>
    <row r="351" spans="1:3" ht="18.75" customHeight="1">
      <c r="A351" s="2"/>
      <c r="B351" s="2"/>
      <c r="C351" s="2"/>
    </row>
    <row r="352" spans="1:3" ht="18.75" customHeight="1">
      <c r="A352" s="2"/>
      <c r="B352" s="2"/>
      <c r="C352" s="2"/>
    </row>
    <row r="353" spans="1:3" ht="18.75" customHeight="1">
      <c r="A353" s="2"/>
      <c r="B353" s="2"/>
      <c r="C353" s="2"/>
    </row>
    <row r="354" spans="1:3" ht="18.75" customHeight="1">
      <c r="A354" s="2"/>
      <c r="B354" s="2"/>
      <c r="C354" s="2"/>
    </row>
    <row r="355" spans="1:3" ht="18.75" customHeight="1">
      <c r="A355" s="2"/>
      <c r="B355" s="2"/>
      <c r="C355" s="2"/>
    </row>
    <row r="356" spans="1:3" ht="18.75" customHeight="1">
      <c r="A356" s="2"/>
      <c r="B356" s="2"/>
      <c r="C356" s="2"/>
    </row>
    <row r="357" spans="1:3" ht="18.75" customHeight="1">
      <c r="A357" s="2"/>
      <c r="B357" s="2"/>
      <c r="C357" s="2"/>
    </row>
    <row r="358" spans="1:3" ht="18.75" customHeight="1">
      <c r="A358" s="2"/>
      <c r="B358" s="2"/>
      <c r="C358" s="2"/>
    </row>
    <row r="359" spans="1:3" ht="18.75" customHeight="1">
      <c r="A359" s="2"/>
      <c r="B359" s="2"/>
      <c r="C359" s="2"/>
    </row>
    <row r="360" spans="1:3" ht="18.75" customHeight="1">
      <c r="A360" s="2"/>
      <c r="B360" s="2"/>
      <c r="C360" s="2"/>
    </row>
    <row r="361" spans="1:3" ht="18.75" customHeight="1">
      <c r="A361" s="2"/>
      <c r="B361" s="2"/>
      <c r="C361" s="2"/>
    </row>
    <row r="362" spans="1:3" ht="18.75" customHeight="1">
      <c r="A362" s="2"/>
      <c r="B362" s="2"/>
      <c r="C362" s="2"/>
    </row>
    <row r="363" spans="1:3" ht="18.75" customHeight="1">
      <c r="A363" s="2"/>
      <c r="B363" s="2"/>
      <c r="C363" s="2"/>
    </row>
    <row r="364" spans="1:3" ht="18.75" customHeight="1">
      <c r="A364" s="2"/>
      <c r="B364" s="2"/>
      <c r="C364" s="2"/>
    </row>
    <row r="365" spans="1:3" ht="18.75" customHeight="1">
      <c r="A365" s="2"/>
      <c r="B365" s="2"/>
      <c r="C365" s="2"/>
    </row>
    <row r="366" spans="1:3" ht="18.75" customHeight="1">
      <c r="A366" s="2"/>
      <c r="B366" s="2"/>
      <c r="C366" s="2"/>
    </row>
    <row r="367" spans="1:3" ht="18.75" customHeight="1">
      <c r="A367" s="2"/>
      <c r="B367" s="2"/>
      <c r="C367" s="2"/>
    </row>
    <row r="368" spans="1:3" ht="18.75" customHeight="1">
      <c r="A368" s="2"/>
      <c r="B368" s="2"/>
      <c r="C368" s="2"/>
    </row>
    <row r="369" spans="1:3" ht="18.75" customHeight="1">
      <c r="A369" s="2"/>
      <c r="B369" s="2"/>
      <c r="C369" s="2"/>
    </row>
    <row r="370" spans="1:3" ht="18.75" customHeight="1">
      <c r="A370" s="2"/>
      <c r="B370" s="2"/>
      <c r="C370" s="2"/>
    </row>
    <row r="371" spans="1:3" ht="18.75" customHeight="1">
      <c r="A371" s="2"/>
      <c r="B371" s="2"/>
      <c r="C371" s="2"/>
    </row>
    <row r="372" spans="1:3" ht="18.75" customHeight="1">
      <c r="A372" s="2"/>
      <c r="B372" s="2"/>
      <c r="C372" s="2"/>
    </row>
    <row r="373" spans="1:3" ht="18.75" customHeight="1">
      <c r="A373" s="2"/>
      <c r="B373" s="2"/>
      <c r="C373" s="2"/>
    </row>
    <row r="374" spans="1:3" ht="18.75" customHeight="1">
      <c r="A374" s="2"/>
      <c r="B374" s="2"/>
      <c r="C374" s="2"/>
    </row>
    <row r="375" spans="1:3" ht="18.75" customHeight="1">
      <c r="A375" s="2"/>
      <c r="B375" s="2"/>
      <c r="C375" s="2"/>
    </row>
    <row r="376" spans="1:3" ht="18.75" customHeight="1">
      <c r="A376" s="2"/>
      <c r="B376" s="2"/>
      <c r="C376" s="2"/>
    </row>
    <row r="377" spans="1:3" ht="18.75" customHeight="1">
      <c r="A377" s="2"/>
      <c r="B377" s="2"/>
      <c r="C377" s="2"/>
    </row>
    <row r="378" spans="1:3" ht="18.75" customHeight="1">
      <c r="A378" s="2"/>
      <c r="B378" s="2"/>
      <c r="C378" s="2"/>
    </row>
    <row r="379" spans="1:3" ht="18.75" customHeight="1">
      <c r="A379" s="2"/>
      <c r="B379" s="2"/>
      <c r="C379" s="2"/>
    </row>
    <row r="380" spans="1:3" ht="18.75" customHeight="1">
      <c r="A380" s="2"/>
      <c r="B380" s="2"/>
      <c r="C380" s="2"/>
    </row>
    <row r="381" spans="1:3" ht="18.75" customHeight="1">
      <c r="A381" s="2"/>
      <c r="B381" s="2"/>
      <c r="C381" s="2"/>
    </row>
    <row r="382" spans="1:3" ht="18.75" customHeight="1">
      <c r="A382" s="2"/>
      <c r="B382" s="2"/>
      <c r="C382" s="2"/>
    </row>
    <row r="383" spans="1:3" ht="18.75" customHeight="1">
      <c r="A383" s="2"/>
      <c r="B383" s="2"/>
      <c r="C383" s="2"/>
    </row>
    <row r="384" spans="1:3" ht="18.75" customHeight="1">
      <c r="A384" s="2"/>
      <c r="B384" s="2"/>
      <c r="C384" s="2"/>
    </row>
    <row r="385" spans="1:3" ht="18.75" customHeight="1">
      <c r="A385" s="2"/>
      <c r="B385" s="2"/>
      <c r="C385" s="2"/>
    </row>
    <row r="386" spans="1:3" ht="18.75" customHeight="1">
      <c r="A386" s="2"/>
      <c r="B386" s="2"/>
      <c r="C386" s="2"/>
    </row>
    <row r="387" spans="1:3" ht="18.75" customHeight="1">
      <c r="A387" s="2"/>
      <c r="B387" s="2"/>
      <c r="C387" s="2"/>
    </row>
    <row r="388" spans="1:3" ht="18.75" customHeight="1">
      <c r="A388" s="2"/>
      <c r="B388" s="2"/>
      <c r="C388" s="2"/>
    </row>
    <row r="389" spans="1:3" ht="18.75" customHeight="1">
      <c r="A389" s="2"/>
      <c r="B389" s="2"/>
      <c r="C389" s="2"/>
    </row>
    <row r="390" spans="1:3" ht="18.75" customHeight="1">
      <c r="A390" s="2"/>
      <c r="B390" s="2"/>
      <c r="C390" s="2"/>
    </row>
    <row r="391" spans="1:3" ht="18.75" customHeight="1">
      <c r="A391" s="2"/>
      <c r="B391" s="2"/>
      <c r="C391" s="2"/>
    </row>
    <row r="392" spans="1:3" ht="18.75" customHeight="1">
      <c r="A392" s="2"/>
      <c r="B392" s="2"/>
      <c r="C392" s="2"/>
    </row>
    <row r="393" spans="1:3" ht="18.75" customHeight="1">
      <c r="A393" s="2"/>
      <c r="B393" s="2"/>
      <c r="C393" s="2"/>
    </row>
    <row r="394" spans="1:3" ht="18.75" customHeight="1">
      <c r="A394" s="2"/>
      <c r="B394" s="2"/>
      <c r="C394" s="2"/>
    </row>
    <row r="395" spans="1:3" ht="18.75" customHeight="1">
      <c r="A395" s="2"/>
      <c r="B395" s="2"/>
      <c r="C395" s="2"/>
    </row>
    <row r="396" spans="1:3" ht="18.75" customHeight="1">
      <c r="A396" s="2"/>
      <c r="B396" s="2"/>
      <c r="C396" s="2"/>
    </row>
    <row r="397" spans="1:3" ht="18.75" customHeight="1">
      <c r="A397" s="2"/>
      <c r="B397" s="2"/>
      <c r="C397" s="2"/>
    </row>
    <row r="398" spans="1:3" ht="18.75" customHeight="1">
      <c r="A398" s="2"/>
      <c r="B398" s="2"/>
      <c r="C398" s="2"/>
    </row>
    <row r="399" spans="1:3" ht="18.75" customHeight="1">
      <c r="A399" s="2"/>
      <c r="B399" s="2"/>
      <c r="C399" s="2"/>
    </row>
    <row r="400" spans="1:3" ht="18.75" customHeight="1">
      <c r="A400" s="2"/>
      <c r="B400" s="2"/>
      <c r="C400" s="2"/>
    </row>
    <row r="401" spans="1:3" ht="18.75" customHeight="1">
      <c r="A401" s="2"/>
      <c r="B401" s="2"/>
      <c r="C401" s="2"/>
    </row>
    <row r="402" spans="1:3" ht="18.75" customHeight="1">
      <c r="A402" s="2"/>
      <c r="B402" s="2"/>
      <c r="C402" s="2"/>
    </row>
    <row r="403" spans="1:3" ht="18.75" customHeight="1">
      <c r="A403" s="2"/>
      <c r="B403" s="2"/>
      <c r="C403" s="2"/>
    </row>
    <row r="404" spans="1:3" ht="18.75" customHeight="1">
      <c r="A404" s="2"/>
      <c r="B404" s="2"/>
      <c r="C404" s="2"/>
    </row>
    <row r="405" spans="1:3" ht="18.75" customHeight="1">
      <c r="A405" s="2"/>
      <c r="B405" s="2"/>
      <c r="C405" s="2"/>
    </row>
    <row r="406" spans="1:3" ht="18.75" customHeight="1">
      <c r="A406" s="2"/>
      <c r="B406" s="2"/>
      <c r="C406" s="2"/>
    </row>
    <row r="407" spans="1:3" ht="18.75" customHeight="1">
      <c r="A407" s="2"/>
      <c r="B407" s="2"/>
      <c r="C407" s="2"/>
    </row>
    <row r="408" spans="1:3" ht="18.75" customHeight="1">
      <c r="A408" s="2"/>
      <c r="B408" s="2"/>
      <c r="C408" s="2"/>
    </row>
    <row r="409" spans="1:3" ht="18.75" customHeight="1">
      <c r="A409" s="2"/>
      <c r="B409" s="2"/>
      <c r="C409" s="2"/>
    </row>
    <row r="410" spans="1:3" ht="18.75" customHeight="1">
      <c r="A410" s="2"/>
      <c r="B410" s="2"/>
      <c r="C410" s="2"/>
    </row>
    <row r="411" spans="1:3" ht="18.75" customHeight="1">
      <c r="A411" s="2"/>
      <c r="B411" s="2"/>
      <c r="C411" s="2"/>
    </row>
    <row r="412" spans="1:3" ht="18.75" customHeight="1">
      <c r="A412" s="2"/>
      <c r="B412" s="2"/>
      <c r="C412" s="2"/>
    </row>
    <row r="413" spans="1:3" ht="18.75" customHeight="1">
      <c r="A413" s="2"/>
      <c r="B413" s="2"/>
      <c r="C413" s="2"/>
    </row>
    <row r="414" spans="1:3" ht="18.75" customHeight="1">
      <c r="A414" s="2"/>
      <c r="B414" s="2"/>
      <c r="C414" s="2"/>
    </row>
    <row r="415" spans="1:3" ht="18.75" customHeight="1">
      <c r="A415" s="2"/>
      <c r="B415" s="2"/>
      <c r="C415" s="2"/>
    </row>
    <row r="416" spans="1:3" ht="18.75" customHeight="1">
      <c r="A416" s="2"/>
      <c r="B416" s="2"/>
      <c r="C416" s="2"/>
    </row>
    <row r="417" spans="1:3" ht="18.75" customHeight="1">
      <c r="A417" s="2"/>
      <c r="B417" s="2"/>
      <c r="C417" s="2"/>
    </row>
    <row r="418" spans="1:3" ht="18.75" customHeight="1">
      <c r="A418" s="2"/>
      <c r="B418" s="2"/>
      <c r="C418" s="2"/>
    </row>
    <row r="419" spans="1:3" ht="18.75" customHeight="1">
      <c r="A419" s="2"/>
      <c r="B419" s="2"/>
      <c r="C419" s="2"/>
    </row>
    <row r="420" spans="1:3" ht="18.75" customHeight="1">
      <c r="A420" s="2"/>
      <c r="B420" s="2"/>
      <c r="C420" s="2"/>
    </row>
    <row r="421" spans="1:3" ht="18.75" customHeight="1">
      <c r="A421" s="2"/>
      <c r="B421" s="2"/>
      <c r="C421" s="2"/>
    </row>
    <row r="422" spans="1:3" ht="18.75" customHeight="1">
      <c r="A422" s="2"/>
      <c r="B422" s="2"/>
      <c r="C422" s="2"/>
    </row>
    <row r="423" spans="1:3" ht="18.75" customHeight="1">
      <c r="A423" s="2"/>
      <c r="B423" s="2"/>
      <c r="C423" s="2"/>
    </row>
    <row r="424" spans="1:3" ht="18.75" customHeight="1">
      <c r="A424" s="2"/>
      <c r="B424" s="2"/>
      <c r="C424" s="2"/>
    </row>
    <row r="425" spans="1:3" ht="18.75" customHeight="1">
      <c r="A425" s="2"/>
      <c r="B425" s="2"/>
      <c r="C425" s="2"/>
    </row>
    <row r="426" spans="1:3" ht="18.75" customHeight="1">
      <c r="A426" s="2"/>
      <c r="B426" s="2"/>
      <c r="C426" s="2"/>
    </row>
    <row r="427" spans="1:3" ht="18.75" customHeight="1">
      <c r="A427" s="2"/>
      <c r="B427" s="2"/>
      <c r="C427" s="2"/>
    </row>
    <row r="428" spans="1:3" ht="18.75" customHeight="1">
      <c r="A428" s="2"/>
      <c r="B428" s="2"/>
      <c r="C428" s="2"/>
    </row>
    <row r="429" spans="1:3" ht="18.75" customHeight="1">
      <c r="A429" s="2"/>
      <c r="B429" s="2"/>
      <c r="C429" s="2"/>
    </row>
    <row r="430" spans="1:3" ht="18.75" customHeight="1">
      <c r="A430" s="2"/>
      <c r="B430" s="2"/>
      <c r="C430" s="2"/>
    </row>
    <row r="431" spans="1:3" ht="18.75" customHeight="1">
      <c r="A431" s="2"/>
      <c r="B431" s="2"/>
      <c r="C431" s="2"/>
    </row>
    <row r="432" spans="1:3" ht="18.75" customHeight="1">
      <c r="A432" s="2"/>
      <c r="B432" s="2"/>
      <c r="C432" s="2"/>
    </row>
    <row r="433" spans="1:3" ht="18.75" customHeight="1">
      <c r="A433" s="2"/>
      <c r="B433" s="2"/>
      <c r="C433" s="2"/>
    </row>
    <row r="434" spans="1:3" ht="18.75" customHeight="1">
      <c r="A434" s="2"/>
      <c r="B434" s="2"/>
      <c r="C434" s="2"/>
    </row>
    <row r="435" spans="1:3" ht="18.75" customHeight="1">
      <c r="A435" s="2"/>
      <c r="B435" s="2"/>
      <c r="C435" s="2"/>
    </row>
    <row r="436" spans="1:3" ht="18.75" customHeight="1">
      <c r="A436" s="2"/>
      <c r="B436" s="2"/>
      <c r="C436" s="2"/>
    </row>
    <row r="437" spans="1:3" ht="18.75" customHeight="1">
      <c r="A437" s="2"/>
      <c r="B437" s="2"/>
      <c r="C437" s="2"/>
    </row>
    <row r="438" spans="1:3" ht="18.75" customHeight="1">
      <c r="A438" s="2"/>
      <c r="B438" s="2"/>
      <c r="C438" s="2"/>
    </row>
    <row r="439" spans="1:3" ht="18.75" customHeight="1">
      <c r="A439" s="2"/>
      <c r="B439" s="2"/>
      <c r="C439" s="2"/>
    </row>
    <row r="440" spans="1:3" ht="18.75" customHeight="1">
      <c r="A440" s="2"/>
      <c r="B440" s="2"/>
      <c r="C440" s="2"/>
    </row>
    <row r="441" spans="1:3" ht="18.75" customHeight="1">
      <c r="A441" s="2"/>
      <c r="B441" s="2"/>
      <c r="C441" s="2"/>
    </row>
    <row r="442" spans="1:3" ht="18.75" customHeight="1">
      <c r="A442" s="2"/>
      <c r="B442" s="2"/>
      <c r="C442" s="2"/>
    </row>
    <row r="443" spans="1:3" ht="18.75" customHeight="1">
      <c r="A443" s="2"/>
      <c r="B443" s="2"/>
      <c r="C443" s="2"/>
    </row>
    <row r="444" spans="1:3" ht="18.75" customHeight="1">
      <c r="A444" s="2"/>
      <c r="B444" s="2"/>
      <c r="C444" s="2"/>
    </row>
    <row r="445" spans="1:3" ht="18.75" customHeight="1">
      <c r="A445" s="2"/>
      <c r="B445" s="2"/>
      <c r="C445" s="2"/>
    </row>
    <row r="446" spans="1:3" ht="18.75" customHeight="1">
      <c r="A446" s="2"/>
      <c r="B446" s="2"/>
      <c r="C446" s="2"/>
    </row>
    <row r="447" spans="1:3" ht="18.75" customHeight="1">
      <c r="A447" s="2"/>
      <c r="B447" s="2"/>
      <c r="C447" s="2"/>
    </row>
    <row r="448" spans="1:3" ht="18.75" customHeight="1">
      <c r="A448" s="2"/>
      <c r="B448" s="2"/>
      <c r="C448" s="2"/>
    </row>
    <row r="449" spans="1:3" ht="18.75" customHeight="1">
      <c r="A449" s="2"/>
      <c r="B449" s="2"/>
      <c r="C449" s="2"/>
    </row>
    <row r="450" spans="1:3" ht="18.75" customHeight="1">
      <c r="A450" s="2"/>
      <c r="B450" s="2"/>
      <c r="C450" s="2"/>
    </row>
    <row r="451" spans="1:3" ht="18.75" customHeight="1">
      <c r="A451" s="2"/>
      <c r="B451" s="2"/>
      <c r="C451" s="2"/>
    </row>
    <row r="452" spans="1:3" ht="18.75" customHeight="1">
      <c r="A452" s="2"/>
      <c r="B452" s="2"/>
      <c r="C452" s="2"/>
    </row>
    <row r="453" spans="1:3" ht="18.75" customHeight="1">
      <c r="A453" s="2"/>
      <c r="B453" s="2"/>
      <c r="C453" s="2"/>
    </row>
    <row r="454" spans="1:3" ht="18.75" customHeight="1">
      <c r="A454" s="2"/>
      <c r="B454" s="2"/>
      <c r="C454" s="2"/>
    </row>
    <row r="455" spans="1:3" ht="18.75" customHeight="1">
      <c r="A455" s="2"/>
      <c r="B455" s="2"/>
      <c r="C455" s="2"/>
    </row>
    <row r="456" spans="1:3" ht="18.75" customHeight="1">
      <c r="A456" s="2"/>
      <c r="B456" s="2"/>
      <c r="C456" s="2"/>
    </row>
    <row r="457" spans="1:3" ht="18.75" customHeight="1">
      <c r="A457" s="2"/>
      <c r="B457" s="2"/>
      <c r="C457" s="2"/>
    </row>
    <row r="458" spans="1:3" ht="18.75" customHeight="1">
      <c r="A458" s="2"/>
      <c r="B458" s="2"/>
      <c r="C458" s="2"/>
    </row>
    <row r="459" spans="1:3" ht="18.75" customHeight="1">
      <c r="A459" s="2"/>
      <c r="B459" s="2"/>
      <c r="C459" s="2"/>
    </row>
    <row r="460" spans="1:3" ht="18.75" customHeight="1">
      <c r="A460" s="2"/>
      <c r="B460" s="2"/>
      <c r="C460" s="2"/>
    </row>
    <row r="461" spans="1:3" ht="18.75" customHeight="1">
      <c r="A461" s="2"/>
      <c r="B461" s="2"/>
      <c r="C461" s="2"/>
    </row>
    <row r="462" spans="1:3" ht="18.75" customHeight="1">
      <c r="A462" s="2"/>
      <c r="B462" s="2"/>
      <c r="C462" s="2"/>
    </row>
    <row r="463" spans="1:3" ht="18.75" customHeight="1">
      <c r="A463" s="2"/>
      <c r="B463" s="2"/>
      <c r="C463" s="2"/>
    </row>
    <row r="464" spans="1:3" ht="18.75" customHeight="1">
      <c r="A464" s="2"/>
      <c r="B464" s="2"/>
      <c r="C464" s="2"/>
    </row>
    <row r="465" spans="1:3" ht="18.75" customHeight="1">
      <c r="A465" s="2"/>
      <c r="B465" s="2"/>
      <c r="C465" s="2"/>
    </row>
    <row r="466" spans="1:3" ht="18.75" customHeight="1">
      <c r="A466" s="2"/>
      <c r="B466" s="2"/>
      <c r="C466" s="2"/>
    </row>
    <row r="467" spans="1:3" ht="18.75" customHeight="1">
      <c r="A467" s="2"/>
      <c r="B467" s="2"/>
      <c r="C467" s="2"/>
    </row>
    <row r="468" spans="1:3" ht="18.75" customHeight="1">
      <c r="A468" s="2"/>
      <c r="B468" s="2"/>
      <c r="C468" s="2"/>
    </row>
    <row r="469" spans="1:3" ht="18.75" customHeight="1">
      <c r="A469" s="2"/>
      <c r="B469" s="2"/>
      <c r="C469" s="2"/>
    </row>
    <row r="470" spans="1:3" ht="18.75" customHeight="1">
      <c r="A470" s="2"/>
      <c r="B470" s="2"/>
      <c r="C470" s="2"/>
    </row>
    <row r="471" spans="1:3" ht="18.75" customHeight="1">
      <c r="A471" s="2"/>
      <c r="B471" s="2"/>
      <c r="C471" s="2"/>
    </row>
    <row r="472" spans="1:3" ht="18.75" customHeight="1">
      <c r="A472" s="2"/>
      <c r="B472" s="2"/>
      <c r="C472" s="2"/>
    </row>
    <row r="473" spans="1:3" ht="18.75" customHeight="1">
      <c r="A473" s="2"/>
      <c r="B473" s="2"/>
      <c r="C473" s="2"/>
    </row>
    <row r="474" spans="1:3" ht="18.75" customHeight="1">
      <c r="A474" s="2"/>
      <c r="B474" s="2"/>
      <c r="C474" s="2"/>
    </row>
    <row r="475" spans="1:3" ht="18.75" customHeight="1">
      <c r="A475" s="2"/>
      <c r="B475" s="2"/>
      <c r="C475" s="2"/>
    </row>
    <row r="476" spans="1:3" ht="18.75" customHeight="1">
      <c r="A476" s="2"/>
      <c r="B476" s="2"/>
      <c r="C476" s="2"/>
    </row>
    <row r="477" spans="1:3" ht="18.75" customHeight="1">
      <c r="A477" s="2"/>
      <c r="B477" s="2"/>
      <c r="C477" s="2"/>
    </row>
    <row r="478" spans="1:3" ht="18.75" customHeight="1">
      <c r="A478" s="2"/>
      <c r="B478" s="2"/>
      <c r="C478" s="2"/>
    </row>
    <row r="479" spans="1:3" ht="18.75" customHeight="1">
      <c r="A479" s="2"/>
      <c r="B479" s="2"/>
      <c r="C479" s="2"/>
    </row>
    <row r="480" spans="1:3" ht="18.75" customHeight="1">
      <c r="A480" s="2"/>
      <c r="B480" s="2"/>
      <c r="C480" s="2"/>
    </row>
    <row r="481" spans="1:3" ht="18.75" customHeight="1">
      <c r="A481" s="2"/>
      <c r="B481" s="2"/>
      <c r="C481" s="2"/>
    </row>
    <row r="482" spans="1:3" ht="18.75" customHeight="1">
      <c r="A482" s="2"/>
      <c r="B482" s="2"/>
      <c r="C482" s="2"/>
    </row>
    <row r="483" spans="1:3" ht="18.75" customHeight="1">
      <c r="A483" s="2"/>
      <c r="B483" s="2"/>
      <c r="C483" s="2"/>
    </row>
    <row r="484" spans="1:3" ht="18.75" customHeight="1">
      <c r="A484" s="2"/>
      <c r="B484" s="2"/>
      <c r="C484" s="2"/>
    </row>
    <row r="485" spans="1:3" ht="18.75" customHeight="1">
      <c r="A485" s="2"/>
      <c r="B485" s="2"/>
      <c r="C485" s="2"/>
    </row>
    <row r="486" spans="1:3" ht="18.75" customHeight="1">
      <c r="A486" s="2"/>
      <c r="B486" s="2"/>
      <c r="C486" s="2"/>
    </row>
    <row r="487" spans="1:3" ht="18.75" customHeight="1">
      <c r="A487" s="2"/>
      <c r="B487" s="2"/>
      <c r="C487" s="2"/>
    </row>
    <row r="488" spans="1:3" ht="18.75" customHeight="1">
      <c r="A488" s="2"/>
      <c r="B488" s="2"/>
      <c r="C488" s="2"/>
    </row>
    <row r="489" spans="1:3" ht="18.75" customHeight="1">
      <c r="A489" s="2"/>
      <c r="B489" s="2"/>
      <c r="C489" s="2"/>
    </row>
    <row r="490" spans="1:3" ht="18.75" customHeight="1">
      <c r="A490" s="2"/>
      <c r="B490" s="2"/>
      <c r="C490" s="2"/>
    </row>
    <row r="491" spans="1:3" ht="18.75" customHeight="1">
      <c r="A491" s="2"/>
      <c r="B491" s="2"/>
      <c r="C491" s="2"/>
    </row>
    <row r="492" spans="1:3" ht="18.75" customHeight="1">
      <c r="A492" s="2"/>
      <c r="B492" s="2"/>
      <c r="C492" s="2"/>
    </row>
    <row r="493" spans="1:3" ht="18.75" customHeight="1">
      <c r="A493" s="2"/>
      <c r="B493" s="2"/>
      <c r="C493" s="2"/>
    </row>
    <row r="494" spans="1:3" ht="18.75" customHeight="1">
      <c r="A494" s="2"/>
      <c r="B494" s="2"/>
      <c r="C494" s="2"/>
    </row>
    <row r="495" spans="1:3" ht="18.75" customHeight="1">
      <c r="A495" s="2"/>
      <c r="B495" s="2"/>
      <c r="C495" s="2"/>
    </row>
    <row r="496" spans="1:3" ht="18.75" customHeight="1">
      <c r="A496" s="2"/>
      <c r="B496" s="2"/>
      <c r="C496" s="2"/>
    </row>
    <row r="497" spans="1:3" ht="18.75" customHeight="1">
      <c r="A497" s="2"/>
      <c r="B497" s="2"/>
      <c r="C497" s="2"/>
    </row>
    <row r="498" spans="1:3" ht="18.75" customHeight="1">
      <c r="A498" s="2"/>
      <c r="B498" s="2"/>
      <c r="C498" s="2"/>
    </row>
    <row r="499" spans="1:3" ht="18.75" customHeight="1">
      <c r="A499" s="2"/>
      <c r="B499" s="2"/>
      <c r="C499" s="2"/>
    </row>
    <row r="500" spans="1:3" ht="18.75" customHeight="1">
      <c r="A500" s="2"/>
      <c r="B500" s="2"/>
      <c r="C500" s="2"/>
    </row>
    <row r="501" spans="1:3" ht="18.75" customHeight="1">
      <c r="A501" s="2"/>
      <c r="B501" s="2"/>
      <c r="C501" s="2"/>
    </row>
    <row r="502" spans="1:3" ht="18.75" customHeight="1">
      <c r="A502" s="2"/>
      <c r="B502" s="2"/>
      <c r="C502" s="2"/>
    </row>
    <row r="503" spans="1:3" ht="18.75" customHeight="1">
      <c r="A503" s="2"/>
      <c r="B503" s="2"/>
      <c r="C503" s="2"/>
    </row>
    <row r="504" spans="1:3" ht="18.75" customHeight="1">
      <c r="A504" s="2"/>
      <c r="B504" s="2"/>
      <c r="C504" s="2"/>
    </row>
    <row r="505" spans="1:3" ht="18.75" customHeight="1">
      <c r="A505" s="2"/>
      <c r="B505" s="2"/>
      <c r="C505" s="2"/>
    </row>
    <row r="506" spans="1:3" ht="18.75" customHeight="1">
      <c r="A506" s="2"/>
      <c r="B506" s="2"/>
      <c r="C506" s="2"/>
    </row>
    <row r="507" spans="1:3" ht="18.75" customHeight="1">
      <c r="A507" s="2"/>
      <c r="B507" s="2"/>
      <c r="C507" s="2"/>
    </row>
    <row r="508" spans="1:3" ht="18.75" customHeight="1">
      <c r="A508" s="2"/>
      <c r="B508" s="2"/>
      <c r="C508" s="2"/>
    </row>
    <row r="509" spans="1:3" ht="18.75" customHeight="1">
      <c r="A509" s="2"/>
      <c r="B509" s="2"/>
      <c r="C509" s="2"/>
    </row>
    <row r="510" spans="1:3" ht="18.75" customHeight="1">
      <c r="A510" s="2"/>
      <c r="B510" s="2"/>
      <c r="C510" s="2"/>
    </row>
    <row r="511" spans="1:3" ht="18.75" customHeight="1">
      <c r="A511" s="2"/>
      <c r="B511" s="2"/>
      <c r="C511" s="2"/>
    </row>
    <row r="512" spans="1:3" ht="18.75" customHeight="1">
      <c r="A512" s="2"/>
      <c r="B512" s="2"/>
      <c r="C512" s="2"/>
    </row>
    <row r="513" spans="1:3" ht="18.75" customHeight="1">
      <c r="A513" s="2"/>
      <c r="B513" s="2"/>
      <c r="C513" s="2"/>
    </row>
    <row r="514" spans="1:3" ht="18.75" customHeight="1">
      <c r="A514" s="2"/>
      <c r="B514" s="2"/>
      <c r="C514" s="2"/>
    </row>
    <row r="515" spans="1:3" ht="18.75" customHeight="1">
      <c r="A515" s="2"/>
      <c r="B515" s="2"/>
      <c r="C515" s="2"/>
    </row>
    <row r="516" spans="1:3" ht="18.75" customHeight="1">
      <c r="A516" s="2"/>
      <c r="B516" s="2"/>
      <c r="C516" s="2"/>
    </row>
    <row r="517" spans="1:3" ht="18.75" customHeight="1">
      <c r="A517" s="2"/>
      <c r="B517" s="2"/>
      <c r="C517" s="2"/>
    </row>
    <row r="518" spans="1:3" ht="18.75" customHeight="1">
      <c r="A518" s="2"/>
      <c r="B518" s="2"/>
      <c r="C518" s="2"/>
    </row>
    <row r="519" spans="1:3" ht="18.75" customHeight="1">
      <c r="A519" s="2"/>
      <c r="B519" s="2"/>
      <c r="C519" s="2"/>
    </row>
    <row r="520" spans="1:3" ht="18.75" customHeight="1">
      <c r="A520" s="2"/>
      <c r="B520" s="2"/>
      <c r="C520" s="2"/>
    </row>
    <row r="521" spans="1:3" ht="18.75" customHeight="1">
      <c r="A521" s="2"/>
      <c r="B521" s="2"/>
      <c r="C521" s="2"/>
    </row>
    <row r="522" spans="1:3" ht="18.75" customHeight="1">
      <c r="A522" s="2"/>
      <c r="B522" s="2"/>
      <c r="C522" s="2"/>
    </row>
    <row r="523" spans="1:3" ht="18.75" customHeight="1">
      <c r="A523" s="2"/>
      <c r="B523" s="2"/>
      <c r="C523" s="2"/>
    </row>
    <row r="524" spans="1:3" ht="18.75" customHeight="1">
      <c r="A524" s="2"/>
      <c r="B524" s="2"/>
      <c r="C524" s="2"/>
    </row>
    <row r="525" spans="1:3" ht="18.75" customHeight="1">
      <c r="A525" s="2"/>
      <c r="B525" s="2"/>
      <c r="C525" s="2"/>
    </row>
    <row r="526" spans="1:3" ht="18.75" customHeight="1">
      <c r="A526" s="2"/>
      <c r="B526" s="2"/>
      <c r="C526" s="2"/>
    </row>
    <row r="527" spans="1:3" ht="18.75" customHeight="1">
      <c r="A527" s="2"/>
      <c r="B527" s="2"/>
      <c r="C527" s="2"/>
    </row>
    <row r="528" spans="1:3" ht="18.75" customHeight="1">
      <c r="A528" s="2"/>
      <c r="B528" s="2"/>
      <c r="C528" s="2"/>
    </row>
    <row r="529" spans="1:3" ht="18.75" customHeight="1">
      <c r="A529" s="2"/>
      <c r="B529" s="2"/>
      <c r="C529" s="2"/>
    </row>
    <row r="530" spans="1:3" ht="18.75" customHeight="1">
      <c r="A530" s="2"/>
      <c r="B530" s="2"/>
      <c r="C530" s="2"/>
    </row>
    <row r="531" spans="1:3" ht="18.75" customHeight="1">
      <c r="A531" s="2"/>
      <c r="B531" s="2"/>
      <c r="C531" s="2"/>
    </row>
    <row r="532" spans="1:3" ht="18.75" customHeight="1">
      <c r="A532" s="2"/>
      <c r="B532" s="2"/>
      <c r="C532" s="2"/>
    </row>
    <row r="533" spans="1:3" ht="18.75" customHeight="1">
      <c r="A533" s="2"/>
      <c r="B533" s="2"/>
      <c r="C533" s="2"/>
    </row>
    <row r="534" spans="1:3" ht="18.75" customHeight="1">
      <c r="A534" s="2"/>
      <c r="B534" s="2"/>
      <c r="C534" s="2"/>
    </row>
    <row r="535" spans="1:3" ht="18.75" customHeight="1">
      <c r="A535" s="2"/>
      <c r="B535" s="2"/>
      <c r="C535" s="2"/>
    </row>
    <row r="536" spans="1:3" ht="18.75" customHeight="1">
      <c r="A536" s="2"/>
      <c r="B536" s="2"/>
      <c r="C536" s="2"/>
    </row>
    <row r="537" spans="1:3" ht="18.75" customHeight="1">
      <c r="A537" s="2"/>
      <c r="B537" s="2"/>
      <c r="C537" s="2"/>
    </row>
    <row r="538" spans="1:3" ht="18.75" customHeight="1">
      <c r="A538" s="2"/>
      <c r="B538" s="2"/>
      <c r="C538" s="2"/>
    </row>
    <row r="539" spans="1:3" ht="18.75" customHeight="1">
      <c r="A539" s="2"/>
      <c r="B539" s="2"/>
      <c r="C539" s="2"/>
    </row>
    <row r="540" spans="1:3" ht="18.75" customHeight="1">
      <c r="A540" s="2"/>
      <c r="B540" s="2"/>
      <c r="C540" s="2"/>
    </row>
    <row r="541" spans="1:3" ht="18.75" customHeight="1">
      <c r="A541" s="2"/>
      <c r="B541" s="2"/>
      <c r="C541" s="2"/>
    </row>
    <row r="542" spans="1:3" ht="18.75" customHeight="1">
      <c r="A542" s="2"/>
      <c r="B542" s="2"/>
      <c r="C542" s="2"/>
    </row>
    <row r="543" spans="1:3" ht="18.75" customHeight="1">
      <c r="A543" s="2"/>
      <c r="B543" s="2"/>
      <c r="C543" s="2"/>
    </row>
    <row r="544" spans="1:3" ht="18.75" customHeight="1">
      <c r="A544" s="2"/>
      <c r="B544" s="2"/>
      <c r="C544" s="2"/>
    </row>
    <row r="545" spans="1:3" ht="18.75" customHeight="1">
      <c r="A545" s="2"/>
      <c r="B545" s="2"/>
      <c r="C545" s="2"/>
    </row>
    <row r="546" spans="1:3" ht="18.75" customHeight="1">
      <c r="A546" s="2"/>
      <c r="B546" s="2"/>
      <c r="C546" s="2"/>
    </row>
    <row r="547" spans="1:3" ht="18.75" customHeight="1">
      <c r="A547" s="2"/>
      <c r="B547" s="2"/>
      <c r="C547" s="2"/>
    </row>
    <row r="548" spans="1:3" ht="18.75" customHeight="1">
      <c r="A548" s="2"/>
      <c r="B548" s="2"/>
      <c r="C548" s="2"/>
    </row>
    <row r="549" spans="1:3" ht="18.75" customHeight="1">
      <c r="A549" s="2"/>
      <c r="B549" s="2"/>
      <c r="C549" s="2"/>
    </row>
    <row r="550" spans="1:3" ht="18.75" customHeight="1">
      <c r="A550" s="2"/>
      <c r="B550" s="2"/>
      <c r="C550" s="2"/>
    </row>
    <row r="551" spans="1:3" ht="18.75" customHeight="1">
      <c r="A551" s="2"/>
      <c r="B551" s="2"/>
      <c r="C551" s="2"/>
    </row>
    <row r="552" spans="1:3" ht="18.75" customHeight="1">
      <c r="A552" s="2"/>
      <c r="B552" s="2"/>
      <c r="C552" s="2"/>
    </row>
    <row r="553" spans="1:3" ht="18.75" customHeight="1">
      <c r="A553" s="2"/>
      <c r="B553" s="2"/>
      <c r="C553" s="2"/>
    </row>
    <row r="554" spans="1:3" ht="18.75" customHeight="1">
      <c r="A554" s="2"/>
      <c r="B554" s="2"/>
      <c r="C554" s="2"/>
    </row>
    <row r="555" spans="1:3" ht="18.75" customHeight="1">
      <c r="A555" s="2"/>
      <c r="B555" s="2"/>
      <c r="C555" s="2"/>
    </row>
    <row r="556" spans="1:3" ht="18.75" customHeight="1">
      <c r="A556" s="2"/>
      <c r="B556" s="2"/>
      <c r="C556" s="2"/>
    </row>
    <row r="557" spans="1:3" ht="18.75" customHeight="1">
      <c r="A557" s="2"/>
      <c r="B557" s="2"/>
      <c r="C557" s="2"/>
    </row>
    <row r="558" spans="1:3" ht="18.75" customHeight="1">
      <c r="A558" s="2"/>
      <c r="B558" s="2"/>
      <c r="C558" s="2"/>
    </row>
    <row r="559" spans="1:3" ht="18.75" customHeight="1">
      <c r="A559" s="2"/>
      <c r="B559" s="2"/>
      <c r="C559" s="2"/>
    </row>
    <row r="560" spans="1:3" ht="18.75" customHeight="1">
      <c r="A560" s="2"/>
      <c r="B560" s="2"/>
      <c r="C560" s="2"/>
    </row>
    <row r="561" spans="1:3" ht="18.75" customHeight="1">
      <c r="A561" s="2"/>
      <c r="B561" s="2"/>
      <c r="C561" s="2"/>
    </row>
    <row r="562" spans="1:3" ht="18.75" customHeight="1">
      <c r="A562" s="2"/>
      <c r="B562" s="2"/>
      <c r="C562" s="2"/>
    </row>
    <row r="563" spans="1:3" ht="18.75" customHeight="1">
      <c r="A563" s="2"/>
      <c r="B563" s="2"/>
      <c r="C563" s="2"/>
    </row>
    <row r="564" spans="1:3" ht="18.75" customHeight="1">
      <c r="A564" s="2"/>
      <c r="B564" s="2"/>
      <c r="C564" s="2"/>
    </row>
    <row r="565" spans="1:3" ht="18.75" customHeight="1">
      <c r="A565" s="2"/>
      <c r="B565" s="2"/>
      <c r="C565" s="2"/>
    </row>
    <row r="566" spans="1:3" ht="18.75" customHeight="1">
      <c r="A566" s="2"/>
      <c r="B566" s="2"/>
      <c r="C566" s="2"/>
    </row>
    <row r="567" spans="1:3" ht="18.75" customHeight="1">
      <c r="A567" s="2"/>
      <c r="B567" s="2"/>
      <c r="C567" s="2"/>
    </row>
    <row r="568" spans="1:3" ht="18.75" customHeight="1">
      <c r="A568" s="2"/>
      <c r="B568" s="2"/>
      <c r="C568" s="2"/>
    </row>
    <row r="569" spans="1:3" ht="18.75" customHeight="1">
      <c r="A569" s="2"/>
      <c r="B569" s="2"/>
      <c r="C569" s="2"/>
    </row>
    <row r="570" spans="1:3" ht="18.75" customHeight="1">
      <c r="A570" s="2"/>
      <c r="B570" s="2"/>
      <c r="C570" s="2"/>
    </row>
    <row r="571" spans="1:3" ht="18.75" customHeight="1">
      <c r="A571" s="2"/>
      <c r="B571" s="2"/>
      <c r="C571" s="2"/>
    </row>
    <row r="572" spans="1:3" ht="18.75" customHeight="1">
      <c r="A572" s="2"/>
      <c r="B572" s="2"/>
      <c r="C572" s="2"/>
    </row>
    <row r="573" spans="1:3" ht="18.75" customHeight="1">
      <c r="A573" s="2"/>
      <c r="B573" s="2"/>
      <c r="C573" s="2"/>
    </row>
    <row r="574" spans="1:3" ht="18.75" customHeight="1">
      <c r="A574" s="2"/>
      <c r="B574" s="2"/>
      <c r="C574" s="2"/>
    </row>
    <row r="575" spans="1:3" ht="18.75" customHeight="1">
      <c r="A575" s="2"/>
      <c r="B575" s="2"/>
      <c r="C575" s="2"/>
    </row>
    <row r="576" spans="1:3" ht="18.75" customHeight="1">
      <c r="A576" s="2"/>
      <c r="B576" s="2"/>
      <c r="C576" s="2"/>
    </row>
    <row r="577" spans="1:3" ht="18.75" customHeight="1">
      <c r="A577" s="2"/>
      <c r="B577" s="2"/>
      <c r="C577" s="2"/>
    </row>
    <row r="578" spans="1:3" ht="18.75" customHeight="1">
      <c r="A578" s="2"/>
      <c r="B578" s="2"/>
      <c r="C578" s="2"/>
    </row>
    <row r="579" spans="1:3" ht="18.75" customHeight="1">
      <c r="A579" s="2"/>
      <c r="B579" s="2"/>
      <c r="C579" s="2"/>
    </row>
    <row r="580" spans="1:3" ht="18.75" customHeight="1">
      <c r="A580" s="2"/>
      <c r="B580" s="2"/>
      <c r="C580" s="2"/>
    </row>
    <row r="581" spans="1:3" ht="18.75" customHeight="1">
      <c r="A581" s="2"/>
      <c r="B581" s="2"/>
      <c r="C581" s="2"/>
    </row>
    <row r="582" spans="1:3" ht="18.75" customHeight="1">
      <c r="A582" s="2"/>
      <c r="B582" s="2"/>
      <c r="C582" s="2"/>
    </row>
    <row r="583" spans="1:3" ht="18.75" customHeight="1">
      <c r="A583" s="2"/>
      <c r="B583" s="2"/>
      <c r="C583" s="2"/>
    </row>
    <row r="584" spans="1:3" ht="18.75" customHeight="1">
      <c r="A584" s="2"/>
      <c r="B584" s="2"/>
      <c r="C584" s="2"/>
    </row>
    <row r="585" spans="1:3" ht="18.75" customHeight="1">
      <c r="A585" s="2"/>
      <c r="B585" s="2"/>
      <c r="C585" s="2"/>
    </row>
    <row r="586" spans="1:3" ht="18.75" customHeight="1">
      <c r="A586" s="2"/>
      <c r="B586" s="2"/>
      <c r="C586" s="2"/>
    </row>
    <row r="587" spans="1:3" ht="18.75" customHeight="1">
      <c r="A587" s="2"/>
      <c r="B587" s="2"/>
      <c r="C587" s="2"/>
    </row>
    <row r="588" spans="1:3" ht="18.75" customHeight="1">
      <c r="A588" s="2"/>
      <c r="B588" s="2"/>
      <c r="C588" s="2"/>
    </row>
    <row r="589" spans="1:3" ht="18.75" customHeight="1">
      <c r="A589" s="2"/>
      <c r="B589" s="2"/>
      <c r="C589" s="2"/>
    </row>
    <row r="590" spans="1:3" ht="18.75" customHeight="1">
      <c r="A590" s="2"/>
      <c r="B590" s="2"/>
      <c r="C590" s="2"/>
    </row>
    <row r="591" spans="1:3" ht="18.75" customHeight="1">
      <c r="A591" s="2"/>
      <c r="B591" s="2"/>
      <c r="C591" s="2"/>
    </row>
    <row r="592" spans="1:3" ht="18.75" customHeight="1">
      <c r="A592" s="2"/>
      <c r="B592" s="2"/>
      <c r="C592" s="2"/>
    </row>
    <row r="593" spans="1:3" ht="18.75" customHeight="1">
      <c r="A593" s="2"/>
      <c r="B593" s="2"/>
      <c r="C593" s="2"/>
    </row>
    <row r="594" spans="1:3" ht="18.75" customHeight="1">
      <c r="A594" s="2"/>
      <c r="B594" s="2"/>
      <c r="C594" s="2"/>
    </row>
    <row r="595" spans="1:3" ht="18.75" customHeight="1">
      <c r="A595" s="2"/>
      <c r="B595" s="2"/>
      <c r="C595" s="2"/>
    </row>
    <row r="596" spans="1:3" ht="18.75" customHeight="1">
      <c r="A596" s="2"/>
      <c r="B596" s="2"/>
      <c r="C596" s="2"/>
    </row>
    <row r="597" spans="1:3" ht="18.75" customHeight="1">
      <c r="A597" s="2"/>
      <c r="B597" s="2"/>
      <c r="C597" s="2"/>
    </row>
    <row r="598" spans="1:3" ht="18.75" customHeight="1">
      <c r="A598" s="2"/>
      <c r="B598" s="2"/>
      <c r="C598" s="2"/>
    </row>
    <row r="599" spans="1:3" ht="18.75" customHeight="1">
      <c r="A599" s="2"/>
      <c r="B599" s="2"/>
      <c r="C599" s="2"/>
    </row>
    <row r="600" spans="1:3" ht="18.75" customHeight="1">
      <c r="A600" s="2"/>
      <c r="B600" s="2"/>
      <c r="C600" s="2"/>
    </row>
    <row r="601" spans="1:3" ht="18.75" customHeight="1">
      <c r="A601" s="2"/>
      <c r="B601" s="2"/>
      <c r="C601" s="2"/>
    </row>
    <row r="602" spans="1:3" ht="18.75" customHeight="1">
      <c r="A602" s="2"/>
      <c r="B602" s="2"/>
      <c r="C602" s="2"/>
    </row>
    <row r="603" spans="1:3" ht="18.75" customHeight="1">
      <c r="A603" s="2"/>
      <c r="B603" s="2"/>
      <c r="C603" s="2"/>
    </row>
    <row r="604" spans="1:3" ht="18.75" customHeight="1">
      <c r="A604" s="2"/>
      <c r="B604" s="2"/>
      <c r="C604" s="2"/>
    </row>
    <row r="605" spans="1:3" ht="18.75" customHeight="1">
      <c r="A605" s="2"/>
      <c r="B605" s="2"/>
      <c r="C605" s="2"/>
    </row>
    <row r="606" spans="1:3" ht="18.75" customHeight="1">
      <c r="A606" s="2"/>
      <c r="B606" s="2"/>
      <c r="C606" s="2"/>
    </row>
    <row r="607" spans="1:3" ht="18.75" customHeight="1">
      <c r="A607" s="2"/>
      <c r="B607" s="2"/>
      <c r="C607" s="2"/>
    </row>
    <row r="608" spans="1:3" ht="18.75" customHeight="1">
      <c r="A608" s="2"/>
      <c r="B608" s="2"/>
      <c r="C608" s="2"/>
    </row>
    <row r="609" spans="1:3" ht="18.75" customHeight="1">
      <c r="A609" s="2"/>
      <c r="B609" s="2"/>
      <c r="C609" s="2"/>
    </row>
    <row r="610" spans="1:3" ht="18.75" customHeight="1">
      <c r="A610" s="2"/>
      <c r="B610" s="2"/>
      <c r="C610" s="2"/>
    </row>
    <row r="611" spans="1:3" ht="18.75" customHeight="1">
      <c r="A611" s="2"/>
      <c r="B611" s="2"/>
      <c r="C611" s="2"/>
    </row>
    <row r="612" spans="1:3" ht="18.75" customHeight="1">
      <c r="A612" s="2"/>
      <c r="B612" s="2"/>
      <c r="C612" s="2"/>
    </row>
    <row r="613" spans="1:3" ht="18.75" customHeight="1">
      <c r="A613" s="2"/>
      <c r="B613" s="2"/>
      <c r="C613" s="2"/>
    </row>
    <row r="614" spans="1:3" ht="18.75" customHeight="1">
      <c r="A614" s="2"/>
      <c r="B614" s="2"/>
      <c r="C614" s="2"/>
    </row>
    <row r="615" spans="1:3" ht="18.75" customHeight="1">
      <c r="A615" s="2"/>
      <c r="B615" s="2"/>
      <c r="C615" s="2"/>
    </row>
    <row r="616" spans="1:3" ht="18.75" customHeight="1">
      <c r="A616" s="2"/>
      <c r="B616" s="2"/>
      <c r="C616" s="2"/>
    </row>
    <row r="617" spans="1:3" ht="18.75" customHeight="1">
      <c r="A617" s="2"/>
      <c r="B617" s="2"/>
      <c r="C617" s="2"/>
    </row>
    <row r="618" spans="1:3" ht="18.75" customHeight="1">
      <c r="A618" s="2"/>
      <c r="B618" s="2"/>
      <c r="C618" s="2"/>
    </row>
    <row r="619" spans="1:3" ht="18.75" customHeight="1">
      <c r="A619" s="2"/>
      <c r="B619" s="2"/>
      <c r="C619" s="2"/>
    </row>
    <row r="620" spans="1:3" ht="18.75" customHeight="1">
      <c r="A620" s="2"/>
      <c r="B620" s="2"/>
      <c r="C620" s="2"/>
    </row>
    <row r="621" spans="1:3" ht="18.75" customHeight="1">
      <c r="A621" s="2"/>
      <c r="B621" s="2"/>
      <c r="C621" s="2"/>
    </row>
    <row r="622" spans="1:3" ht="18.75" customHeight="1">
      <c r="A622" s="2"/>
      <c r="B622" s="2"/>
      <c r="C622" s="2"/>
    </row>
    <row r="623" spans="1:3" ht="18.75" customHeight="1">
      <c r="A623" s="2"/>
      <c r="B623" s="2"/>
      <c r="C623" s="2"/>
    </row>
    <row r="624" spans="1:3" ht="18.75" customHeight="1">
      <c r="A624" s="2"/>
      <c r="B624" s="2"/>
      <c r="C624" s="2"/>
    </row>
    <row r="625" spans="1:3" ht="18.75" customHeight="1">
      <c r="A625" s="2"/>
      <c r="B625" s="2"/>
      <c r="C625" s="2"/>
    </row>
    <row r="626" spans="1:3" ht="18.75" customHeight="1">
      <c r="A626" s="2"/>
      <c r="B626" s="2"/>
      <c r="C626" s="2"/>
    </row>
    <row r="627" spans="1:3" ht="18.75" customHeight="1">
      <c r="A627" s="2"/>
      <c r="B627" s="2"/>
      <c r="C627" s="2"/>
    </row>
    <row r="628" spans="1:3" ht="18.75" customHeight="1">
      <c r="A628" s="2"/>
      <c r="B628" s="2"/>
      <c r="C628" s="2"/>
    </row>
    <row r="629" spans="1:3" ht="18.75" customHeight="1">
      <c r="A629" s="2"/>
      <c r="B629" s="2"/>
      <c r="C629" s="2"/>
    </row>
    <row r="630" spans="1:3" ht="18.75" customHeight="1">
      <c r="A630" s="2"/>
      <c r="B630" s="2"/>
      <c r="C630" s="2"/>
    </row>
    <row r="631" spans="1:3" ht="18.75" customHeight="1">
      <c r="A631" s="2"/>
      <c r="B631" s="2"/>
      <c r="C631" s="2"/>
    </row>
    <row r="632" spans="1:3" ht="18.75" customHeight="1">
      <c r="A632" s="2"/>
      <c r="B632" s="2"/>
      <c r="C632" s="2"/>
    </row>
    <row r="633" spans="1:3" ht="18.75" customHeight="1">
      <c r="A633" s="2"/>
      <c r="B633" s="2"/>
      <c r="C633" s="2"/>
    </row>
    <row r="634" spans="1:3" ht="18.75" customHeight="1">
      <c r="A634" s="2"/>
      <c r="B634" s="2"/>
      <c r="C634" s="2"/>
    </row>
    <row r="635" spans="1:3" ht="18.75" customHeight="1">
      <c r="A635" s="2"/>
      <c r="B635" s="2"/>
      <c r="C635" s="2"/>
    </row>
    <row r="636" spans="1:3" ht="18.75" customHeight="1">
      <c r="A636" s="2"/>
      <c r="B636" s="2"/>
      <c r="C636" s="2"/>
    </row>
    <row r="637" spans="1:3" ht="18.75" customHeight="1">
      <c r="A637" s="2"/>
      <c r="B637" s="2"/>
      <c r="C637" s="2"/>
    </row>
    <row r="638" spans="1:3" ht="18.75" customHeight="1">
      <c r="A638" s="2"/>
      <c r="B638" s="2"/>
      <c r="C638" s="2"/>
    </row>
    <row r="639" spans="1:3" ht="18.75" customHeight="1">
      <c r="A639" s="2"/>
      <c r="B639" s="2"/>
      <c r="C639" s="2"/>
    </row>
    <row r="640" spans="1:3" ht="18.75" customHeight="1">
      <c r="A640" s="2"/>
      <c r="B640" s="2"/>
      <c r="C640" s="2"/>
    </row>
    <row r="641" spans="1:3" ht="18.75" customHeight="1">
      <c r="A641" s="2"/>
      <c r="B641" s="2"/>
      <c r="C641" s="2"/>
    </row>
    <row r="642" spans="1:3" ht="18.75" customHeight="1">
      <c r="A642" s="2"/>
      <c r="B642" s="2"/>
      <c r="C642" s="2"/>
    </row>
    <row r="643" spans="1:3" ht="18.75" customHeight="1">
      <c r="A643" s="2"/>
      <c r="B643" s="2"/>
      <c r="C643" s="2"/>
    </row>
    <row r="644" spans="1:3" ht="18.75" customHeight="1">
      <c r="A644" s="2"/>
      <c r="B644" s="2"/>
      <c r="C644" s="2"/>
    </row>
    <row r="645" spans="1:3" ht="18.75" customHeight="1">
      <c r="A645" s="2"/>
      <c r="B645" s="2"/>
      <c r="C645" s="2"/>
    </row>
    <row r="646" spans="1:3" ht="18.75" customHeight="1">
      <c r="A646" s="2"/>
      <c r="B646" s="2"/>
      <c r="C646" s="2"/>
    </row>
    <row r="647" spans="1:3" ht="18.75" customHeight="1">
      <c r="A647" s="2"/>
      <c r="B647" s="2"/>
      <c r="C647" s="2"/>
    </row>
    <row r="648" spans="1:3" ht="18.75" customHeight="1">
      <c r="A648" s="2"/>
      <c r="B648" s="2"/>
      <c r="C648" s="2"/>
    </row>
    <row r="649" spans="1:3" ht="18.75" customHeight="1">
      <c r="A649" s="2"/>
      <c r="B649" s="2"/>
      <c r="C649" s="2"/>
    </row>
    <row r="650" spans="1:3" ht="18.75" customHeight="1">
      <c r="A650" s="2"/>
      <c r="B650" s="2"/>
      <c r="C650" s="2"/>
    </row>
    <row r="651" spans="1:3" ht="18.75" customHeight="1">
      <c r="A651" s="2"/>
      <c r="B651" s="2"/>
      <c r="C651" s="2"/>
    </row>
    <row r="652" spans="1:3" ht="18.75" customHeight="1">
      <c r="A652" s="2"/>
      <c r="B652" s="2"/>
      <c r="C652" s="2"/>
    </row>
    <row r="653" spans="1:3" ht="18.75" customHeight="1">
      <c r="A653" s="2"/>
      <c r="B653" s="2"/>
      <c r="C653" s="2"/>
    </row>
    <row r="654" spans="1:3" ht="18.75" customHeight="1">
      <c r="A654" s="2"/>
      <c r="B654" s="2"/>
      <c r="C654" s="2"/>
    </row>
    <row r="655" spans="1:3" ht="18.75" customHeight="1">
      <c r="A655" s="2"/>
      <c r="B655" s="2"/>
      <c r="C655" s="2"/>
    </row>
    <row r="656" spans="1:3" ht="18.75" customHeight="1">
      <c r="A656" s="2"/>
      <c r="B656" s="2"/>
      <c r="C656" s="2"/>
    </row>
    <row r="657" spans="1:3" ht="18.75" customHeight="1">
      <c r="A657" s="2"/>
      <c r="B657" s="2"/>
      <c r="C657" s="2"/>
    </row>
    <row r="658" spans="1:3" ht="18.75" customHeight="1">
      <c r="A658" s="2"/>
      <c r="B658" s="2"/>
      <c r="C658" s="2"/>
    </row>
    <row r="659" spans="1:3" ht="18.75" customHeight="1">
      <c r="A659" s="2"/>
      <c r="B659" s="2"/>
      <c r="C659" s="2"/>
    </row>
    <row r="660" spans="1:3" ht="18.75" customHeight="1">
      <c r="A660" s="2"/>
      <c r="B660" s="2"/>
      <c r="C660" s="2"/>
    </row>
    <row r="661" spans="1:3" ht="18.75" customHeight="1">
      <c r="A661" s="2"/>
      <c r="B661" s="2"/>
      <c r="C661" s="2"/>
    </row>
    <row r="662" spans="1:3" ht="18.75" customHeight="1">
      <c r="A662" s="2"/>
      <c r="B662" s="2"/>
      <c r="C662" s="2"/>
    </row>
    <row r="663" spans="1:3" ht="18.75" customHeight="1">
      <c r="A663" s="2"/>
      <c r="B663" s="2"/>
      <c r="C663" s="2"/>
    </row>
    <row r="664" spans="1:3" ht="18.75" customHeight="1">
      <c r="A664" s="2"/>
      <c r="B664" s="2"/>
      <c r="C664" s="2"/>
    </row>
    <row r="665" spans="1:3" ht="18.75" customHeight="1">
      <c r="A665" s="2"/>
      <c r="B665" s="2"/>
      <c r="C665" s="2"/>
    </row>
    <row r="666" spans="1:3" ht="18.75" customHeight="1">
      <c r="A666" s="2"/>
      <c r="B666" s="2"/>
      <c r="C666" s="2"/>
    </row>
    <row r="667" spans="1:3" ht="18.75" customHeight="1">
      <c r="A667" s="2"/>
      <c r="B667" s="2"/>
      <c r="C667" s="2"/>
    </row>
    <row r="668" spans="1:3" ht="18.75" customHeight="1">
      <c r="A668" s="2"/>
      <c r="B668" s="2"/>
      <c r="C668" s="2"/>
    </row>
    <row r="669" spans="1:3" ht="18.75" customHeight="1">
      <c r="A669" s="2"/>
      <c r="B669" s="2"/>
      <c r="C669" s="2"/>
    </row>
    <row r="670" spans="1:3" ht="18.75" customHeight="1">
      <c r="A670" s="2"/>
      <c r="B670" s="2"/>
      <c r="C670" s="2"/>
    </row>
    <row r="671" spans="1:3" ht="18.75" customHeight="1">
      <c r="A671" s="2"/>
      <c r="B671" s="2"/>
      <c r="C671" s="2"/>
    </row>
    <row r="672" spans="1:3" ht="18.75" customHeight="1">
      <c r="A672" s="2"/>
      <c r="B672" s="2"/>
      <c r="C672" s="2"/>
    </row>
    <row r="673" spans="1:3" ht="18.75" customHeight="1">
      <c r="A673" s="2"/>
      <c r="B673" s="2"/>
      <c r="C673" s="2"/>
    </row>
    <row r="674" spans="1:3" ht="18.75" customHeight="1">
      <c r="A674" s="2"/>
      <c r="B674" s="2"/>
      <c r="C674" s="2"/>
    </row>
    <row r="675" spans="1:3" ht="18.75" customHeight="1">
      <c r="A675" s="2"/>
      <c r="B675" s="2"/>
      <c r="C675" s="2"/>
    </row>
    <row r="676" spans="1:3" ht="18.75" customHeight="1">
      <c r="A676" s="2"/>
      <c r="B676" s="2"/>
      <c r="C676" s="2"/>
    </row>
    <row r="677" spans="1:3" ht="18.75" customHeight="1">
      <c r="A677" s="2"/>
      <c r="B677" s="2"/>
      <c r="C677" s="2"/>
    </row>
    <row r="678" spans="1:3" ht="18.75" customHeight="1">
      <c r="A678" s="2"/>
      <c r="B678" s="2"/>
      <c r="C678" s="2"/>
    </row>
    <row r="679" spans="1:3" ht="18.75" customHeight="1">
      <c r="A679" s="2"/>
      <c r="B679" s="2"/>
      <c r="C679" s="2"/>
    </row>
    <row r="680" spans="1:3" ht="18.75" customHeight="1">
      <c r="A680" s="2"/>
      <c r="B680" s="2"/>
      <c r="C680" s="2"/>
    </row>
    <row r="681" spans="1:3" ht="18.75" customHeight="1">
      <c r="A681" s="2"/>
      <c r="B681" s="2"/>
      <c r="C681" s="2"/>
    </row>
    <row r="682" spans="1:3" ht="18.75" customHeight="1">
      <c r="A682" s="2"/>
      <c r="B682" s="2"/>
      <c r="C682" s="2"/>
    </row>
    <row r="683" spans="1:3" ht="18.75" customHeight="1">
      <c r="A683" s="2"/>
      <c r="B683" s="2"/>
      <c r="C683" s="2"/>
    </row>
    <row r="684" spans="1:3" ht="18.75" customHeight="1">
      <c r="A684" s="2"/>
      <c r="B684" s="2"/>
      <c r="C684" s="2"/>
    </row>
    <row r="685" spans="1:3" ht="18.75" customHeight="1">
      <c r="A685" s="2"/>
      <c r="B685" s="2"/>
      <c r="C685" s="2"/>
    </row>
    <row r="686" spans="1:3" ht="18.75" customHeight="1">
      <c r="A686" s="2"/>
      <c r="B686" s="2"/>
      <c r="C686" s="2"/>
    </row>
    <row r="687" spans="1:3" ht="18.75" customHeight="1">
      <c r="A687" s="2"/>
      <c r="B687" s="2"/>
      <c r="C687" s="2"/>
    </row>
    <row r="688" spans="1:3" ht="18.75" customHeight="1">
      <c r="A688" s="2"/>
      <c r="B688" s="2"/>
      <c r="C688" s="2"/>
    </row>
    <row r="689" spans="1:3" ht="18.75" customHeight="1">
      <c r="A689" s="2"/>
      <c r="B689" s="2"/>
      <c r="C689" s="2"/>
    </row>
    <row r="690" spans="1:3" ht="18.75" customHeight="1">
      <c r="A690" s="2"/>
      <c r="B690" s="2"/>
      <c r="C690" s="2"/>
    </row>
    <row r="691" spans="1:3" ht="18.75" customHeight="1">
      <c r="A691" s="2"/>
      <c r="B691" s="2"/>
      <c r="C691" s="2"/>
    </row>
    <row r="692" spans="1:3" ht="18.75" customHeight="1">
      <c r="A692" s="2"/>
      <c r="B692" s="2"/>
      <c r="C692" s="2"/>
    </row>
    <row r="693" spans="1:3" ht="18.75" customHeight="1">
      <c r="A693" s="2"/>
      <c r="B693" s="2"/>
      <c r="C693" s="2"/>
    </row>
    <row r="694" spans="1:3" ht="18.75" customHeight="1">
      <c r="A694" s="2"/>
      <c r="B694" s="2"/>
      <c r="C694" s="2"/>
    </row>
    <row r="695" spans="1:3" ht="18.75" customHeight="1">
      <c r="A695" s="2"/>
      <c r="B695" s="2"/>
      <c r="C695" s="2"/>
    </row>
    <row r="696" spans="1:3" ht="18.75" customHeight="1">
      <c r="A696" s="2"/>
      <c r="B696" s="2"/>
      <c r="C696" s="2"/>
    </row>
    <row r="697" spans="1:3" ht="18.75" customHeight="1">
      <c r="A697" s="2"/>
      <c r="B697" s="2"/>
      <c r="C697" s="2"/>
    </row>
    <row r="698" spans="1:3" ht="18.75" customHeight="1">
      <c r="A698" s="2"/>
      <c r="B698" s="2"/>
      <c r="C698" s="2"/>
    </row>
    <row r="699" spans="1:3" ht="18.75" customHeight="1">
      <c r="A699" s="2"/>
      <c r="B699" s="2"/>
      <c r="C699" s="2"/>
    </row>
    <row r="700" spans="1:3" ht="18.75" customHeight="1">
      <c r="A700" s="2"/>
      <c r="B700" s="2"/>
      <c r="C700" s="2"/>
    </row>
    <row r="701" spans="1:3" ht="18.75" customHeight="1">
      <c r="A701" s="2"/>
      <c r="B701" s="2"/>
      <c r="C701" s="2"/>
    </row>
    <row r="702" spans="1:3" ht="18.75" customHeight="1">
      <c r="A702" s="2"/>
      <c r="B702" s="2"/>
      <c r="C702" s="2"/>
    </row>
    <row r="703" spans="1:3" ht="18.75" customHeight="1">
      <c r="A703" s="2"/>
      <c r="B703" s="2"/>
      <c r="C703" s="2"/>
    </row>
    <row r="704" spans="1:3" ht="18.75" customHeight="1">
      <c r="A704" s="2"/>
      <c r="B704" s="2"/>
      <c r="C704" s="2"/>
    </row>
    <row r="705" spans="1:3" ht="18.75" customHeight="1">
      <c r="A705" s="2"/>
      <c r="B705" s="2"/>
      <c r="C705" s="2"/>
    </row>
    <row r="706" spans="1:3" ht="18.75" customHeight="1">
      <c r="A706" s="2"/>
      <c r="B706" s="2"/>
      <c r="C706" s="2"/>
    </row>
    <row r="707" spans="1:3" ht="18.75" customHeight="1">
      <c r="A707" s="2"/>
      <c r="B707" s="2"/>
      <c r="C707" s="2"/>
    </row>
    <row r="708" spans="1:3" ht="18.75" customHeight="1">
      <c r="A708" s="2"/>
      <c r="B708" s="2"/>
      <c r="C708" s="2"/>
    </row>
    <row r="709" spans="1:3" ht="18.75" customHeight="1">
      <c r="A709" s="2"/>
      <c r="B709" s="2"/>
      <c r="C709" s="2"/>
    </row>
    <row r="710" spans="1:3" ht="18.75" customHeight="1">
      <c r="A710" s="2"/>
      <c r="B710" s="2"/>
      <c r="C710" s="2"/>
    </row>
    <row r="711" spans="1:3" ht="18.75" customHeight="1">
      <c r="A711" s="2"/>
      <c r="B711" s="2"/>
      <c r="C711" s="2"/>
    </row>
    <row r="712" spans="1:3" ht="18.75" customHeight="1">
      <c r="A712" s="2"/>
      <c r="B712" s="2"/>
      <c r="C712" s="2"/>
    </row>
    <row r="713" spans="1:3" ht="18.75" customHeight="1">
      <c r="A713" s="2"/>
      <c r="B713" s="2"/>
      <c r="C713" s="2"/>
    </row>
    <row r="714" spans="1:3" ht="18.75" customHeight="1">
      <c r="A714" s="2"/>
      <c r="B714" s="2"/>
      <c r="C714" s="2"/>
    </row>
    <row r="715" spans="1:3" ht="18.75" customHeight="1">
      <c r="A715" s="2"/>
      <c r="B715" s="2"/>
      <c r="C715" s="2"/>
    </row>
    <row r="716" spans="1:3" ht="18.75" customHeight="1">
      <c r="A716" s="2"/>
      <c r="B716" s="2"/>
      <c r="C716" s="2"/>
    </row>
    <row r="717" spans="1:3" ht="18.75" customHeight="1">
      <c r="A717" s="2"/>
      <c r="B717" s="2"/>
      <c r="C717" s="2"/>
    </row>
    <row r="718" spans="1:3" ht="18.75" customHeight="1">
      <c r="A718" s="2"/>
      <c r="B718" s="2"/>
      <c r="C718" s="2"/>
    </row>
    <row r="719" spans="1:3" ht="18.75" customHeight="1">
      <c r="A719" s="2"/>
      <c r="B719" s="2"/>
      <c r="C719" s="2"/>
    </row>
    <row r="720" spans="1:3" ht="18.75" customHeight="1">
      <c r="A720" s="2"/>
      <c r="B720" s="2"/>
      <c r="C720" s="2"/>
    </row>
    <row r="721" spans="1:3" ht="18.75" customHeight="1">
      <c r="A721" s="2"/>
      <c r="B721" s="2"/>
      <c r="C721" s="2"/>
    </row>
    <row r="722" spans="1:3" ht="18.75" customHeight="1">
      <c r="A722" s="2"/>
      <c r="B722" s="2"/>
      <c r="C722" s="2"/>
    </row>
    <row r="723" spans="1:3" ht="18.75" customHeight="1">
      <c r="A723" s="2"/>
      <c r="B723" s="2"/>
      <c r="C723" s="2"/>
    </row>
    <row r="724" spans="1:3" ht="18.75" customHeight="1">
      <c r="A724" s="2"/>
      <c r="B724" s="2"/>
      <c r="C724" s="2"/>
    </row>
    <row r="725" spans="1:3" ht="18.75" customHeight="1">
      <c r="A725" s="2"/>
      <c r="B725" s="2"/>
      <c r="C725" s="2"/>
    </row>
    <row r="726" spans="1:3" ht="18.75" customHeight="1">
      <c r="A726" s="2"/>
      <c r="B726" s="2"/>
      <c r="C726" s="2"/>
    </row>
    <row r="727" spans="1:3" ht="18.75" customHeight="1">
      <c r="A727" s="2"/>
      <c r="B727" s="2"/>
      <c r="C727" s="2"/>
    </row>
    <row r="728" spans="1:3" ht="18.75" customHeight="1">
      <c r="A728" s="2"/>
      <c r="B728" s="2"/>
      <c r="C728" s="2"/>
    </row>
    <row r="729" spans="1:3" ht="18.75" customHeight="1">
      <c r="A729" s="2"/>
      <c r="B729" s="2"/>
      <c r="C729" s="2"/>
    </row>
    <row r="730" spans="1:3" ht="18.75" customHeight="1">
      <c r="A730" s="2"/>
      <c r="B730" s="2"/>
      <c r="C730" s="2"/>
    </row>
    <row r="731" spans="1:3" ht="18.75" customHeight="1">
      <c r="A731" s="2"/>
      <c r="B731" s="2"/>
      <c r="C731" s="2"/>
    </row>
    <row r="732" spans="1:3" ht="18.75" customHeight="1">
      <c r="A732" s="2"/>
      <c r="B732" s="2"/>
      <c r="C732" s="2"/>
    </row>
    <row r="733" spans="1:3" ht="18.75" customHeight="1">
      <c r="A733" s="2"/>
      <c r="B733" s="2"/>
      <c r="C733" s="2"/>
    </row>
    <row r="734" spans="1:3" ht="18.75" customHeight="1">
      <c r="A734" s="2"/>
      <c r="B734" s="2"/>
      <c r="C734" s="2"/>
    </row>
    <row r="735" spans="1:3" ht="18.75" customHeight="1">
      <c r="A735" s="2"/>
      <c r="B735" s="2"/>
      <c r="C735" s="2"/>
    </row>
    <row r="736" spans="1:3" ht="18.75" customHeight="1">
      <c r="A736" s="2"/>
      <c r="B736" s="2"/>
      <c r="C736" s="2"/>
    </row>
    <row r="737" spans="1:3" ht="18.75" customHeight="1">
      <c r="A737" s="2"/>
      <c r="B737" s="2"/>
      <c r="C737" s="2"/>
    </row>
    <row r="738" spans="1:3" ht="18.75" customHeight="1">
      <c r="A738" s="2"/>
      <c r="B738" s="2"/>
      <c r="C738" s="2"/>
    </row>
    <row r="739" spans="1:3" ht="18.75" customHeight="1">
      <c r="A739" s="2"/>
      <c r="B739" s="2"/>
      <c r="C739" s="2"/>
    </row>
    <row r="740" spans="1:3" ht="18.75" customHeight="1">
      <c r="A740" s="2"/>
      <c r="B740" s="2"/>
      <c r="C740" s="2"/>
    </row>
    <row r="741" spans="1:3" ht="18.75" customHeight="1">
      <c r="A741" s="2"/>
      <c r="B741" s="2"/>
      <c r="C741" s="2"/>
    </row>
    <row r="742" spans="1:3" ht="18.75" customHeight="1">
      <c r="A742" s="2"/>
      <c r="B742" s="2"/>
      <c r="C742" s="2"/>
    </row>
    <row r="743" spans="1:3" ht="18.75" customHeight="1">
      <c r="A743" s="2"/>
      <c r="B743" s="2"/>
      <c r="C743" s="2"/>
    </row>
    <row r="744" spans="1:3" ht="18.75" customHeight="1">
      <c r="A744" s="2"/>
      <c r="B744" s="2"/>
      <c r="C744" s="2"/>
    </row>
    <row r="745" spans="1:3" ht="18.75" customHeight="1">
      <c r="A745" s="2"/>
      <c r="B745" s="2"/>
      <c r="C745" s="2"/>
    </row>
    <row r="746" spans="1:3" ht="18.75" customHeight="1">
      <c r="A746" s="2"/>
      <c r="B746" s="2"/>
      <c r="C746" s="2"/>
    </row>
    <row r="747" spans="1:3" ht="18.75" customHeight="1">
      <c r="A747" s="2"/>
      <c r="B747" s="2"/>
      <c r="C747" s="2"/>
    </row>
    <row r="748" spans="1:3" ht="18.75" customHeight="1">
      <c r="A748" s="2"/>
      <c r="B748" s="2"/>
      <c r="C748" s="2"/>
    </row>
    <row r="749" spans="1:3" ht="18.75" customHeight="1">
      <c r="A749" s="2"/>
      <c r="B749" s="2"/>
      <c r="C749" s="2"/>
    </row>
    <row r="750" spans="1:3" ht="18.75" customHeight="1">
      <c r="A750" s="2"/>
      <c r="B750" s="2"/>
      <c r="C750" s="2"/>
    </row>
    <row r="751" spans="1:3" ht="18.75" customHeight="1">
      <c r="A751" s="2"/>
      <c r="B751" s="2"/>
      <c r="C751" s="2"/>
    </row>
    <row r="752" spans="1:3" ht="18.75" customHeight="1">
      <c r="A752" s="2"/>
      <c r="B752" s="2"/>
      <c r="C752" s="2"/>
    </row>
    <row r="753" spans="1:3" ht="18.75" customHeight="1">
      <c r="A753" s="2"/>
      <c r="B753" s="2"/>
      <c r="C753" s="2"/>
    </row>
    <row r="754" spans="1:3" ht="18.75" customHeight="1">
      <c r="A754" s="2"/>
      <c r="B754" s="2"/>
      <c r="C754" s="2"/>
    </row>
    <row r="755" spans="1:3" ht="18.75" customHeight="1">
      <c r="A755" s="2"/>
      <c r="B755" s="2"/>
      <c r="C755" s="2"/>
    </row>
    <row r="756" spans="1:3" ht="18.75" customHeight="1">
      <c r="A756" s="2"/>
      <c r="B756" s="2"/>
      <c r="C756" s="2"/>
    </row>
    <row r="757" spans="1:3" ht="18.75" customHeight="1">
      <c r="A757" s="2"/>
      <c r="B757" s="2"/>
      <c r="C757" s="2"/>
    </row>
    <row r="758" spans="1:3" ht="18.75" customHeight="1">
      <c r="A758" s="2"/>
      <c r="B758" s="2"/>
      <c r="C758" s="2"/>
    </row>
    <row r="759" spans="1:3" ht="18.75" customHeight="1">
      <c r="A759" s="2"/>
      <c r="B759" s="2"/>
      <c r="C759" s="2"/>
    </row>
    <row r="760" spans="1:3" ht="18.75" customHeight="1">
      <c r="A760" s="2"/>
      <c r="B760" s="2"/>
      <c r="C760" s="2"/>
    </row>
    <row r="761" spans="1:3" ht="18.75" customHeight="1">
      <c r="A761" s="2"/>
      <c r="B761" s="2"/>
      <c r="C761" s="2"/>
    </row>
    <row r="762" spans="1:3" ht="18.75" customHeight="1">
      <c r="A762" s="2"/>
      <c r="B762" s="2"/>
      <c r="C762" s="2"/>
    </row>
    <row r="763" spans="1:3" ht="18.75" customHeight="1">
      <c r="A763" s="2"/>
      <c r="B763" s="2"/>
      <c r="C763" s="2"/>
    </row>
    <row r="764" spans="1:3" ht="18.75" customHeight="1">
      <c r="A764" s="2"/>
      <c r="B764" s="2"/>
      <c r="C764" s="2"/>
    </row>
    <row r="765" spans="1:3" ht="18.75" customHeight="1">
      <c r="A765" s="2"/>
      <c r="B765" s="2"/>
      <c r="C765" s="2"/>
    </row>
    <row r="766" spans="1:3" ht="18.75" customHeight="1">
      <c r="A766" s="2"/>
      <c r="B766" s="2"/>
      <c r="C766" s="2"/>
    </row>
    <row r="767" spans="1:3" ht="18.75" customHeight="1">
      <c r="A767" s="2"/>
      <c r="B767" s="2"/>
      <c r="C767" s="2"/>
    </row>
    <row r="768" spans="1:3" ht="18.75" customHeight="1">
      <c r="A768" s="2"/>
      <c r="B768" s="2"/>
      <c r="C768" s="2"/>
    </row>
    <row r="769" spans="1:3" ht="18.75" customHeight="1">
      <c r="A769" s="2"/>
      <c r="B769" s="2"/>
      <c r="C769" s="2"/>
    </row>
    <row r="770" spans="1:3" ht="18.75" customHeight="1">
      <c r="A770" s="2"/>
      <c r="B770" s="2"/>
      <c r="C770" s="2"/>
    </row>
    <row r="771" spans="1:3" ht="18.75" customHeight="1">
      <c r="A771" s="2"/>
      <c r="B771" s="2"/>
      <c r="C771" s="2"/>
    </row>
    <row r="772" spans="1:3" ht="18.75" customHeight="1">
      <c r="A772" s="2"/>
      <c r="B772" s="2"/>
      <c r="C772" s="2"/>
    </row>
    <row r="773" spans="1:3" ht="18.75" customHeight="1">
      <c r="A773" s="2"/>
      <c r="B773" s="2"/>
      <c r="C773" s="2"/>
    </row>
    <row r="774" spans="1:3" ht="18.75" customHeight="1">
      <c r="A774" s="2"/>
      <c r="B774" s="2"/>
      <c r="C774" s="2"/>
    </row>
    <row r="775" spans="1:3" ht="18.75" customHeight="1">
      <c r="A775" s="2"/>
      <c r="B775" s="2"/>
      <c r="C775" s="2"/>
    </row>
    <row r="776" spans="1:3" ht="18.75" customHeight="1">
      <c r="A776" s="2"/>
      <c r="B776" s="2"/>
      <c r="C776" s="2"/>
    </row>
    <row r="777" spans="1:3" ht="18.75" customHeight="1">
      <c r="A777" s="2"/>
      <c r="B777" s="2"/>
      <c r="C777" s="2"/>
    </row>
    <row r="778" spans="1:3" ht="18.75" customHeight="1">
      <c r="A778" s="2"/>
      <c r="B778" s="2"/>
      <c r="C778" s="2"/>
    </row>
    <row r="779" spans="1:3" ht="18.75" customHeight="1">
      <c r="A779" s="2"/>
      <c r="B779" s="2"/>
      <c r="C779" s="2"/>
    </row>
    <row r="780" spans="1:3" ht="18.75" customHeight="1">
      <c r="A780" s="2"/>
      <c r="B780" s="2"/>
      <c r="C780" s="2"/>
    </row>
    <row r="781" spans="1:3" ht="18.75" customHeight="1">
      <c r="A781" s="2"/>
      <c r="B781" s="2"/>
      <c r="C781" s="2"/>
    </row>
    <row r="782" spans="1:3" ht="18.75" customHeight="1">
      <c r="A782" s="2"/>
      <c r="B782" s="2"/>
      <c r="C782" s="2"/>
    </row>
    <row r="783" spans="1:3" ht="18.75" customHeight="1">
      <c r="A783" s="2"/>
      <c r="B783" s="2"/>
      <c r="C783" s="2"/>
    </row>
    <row r="784" spans="1:3" ht="18.75" customHeight="1">
      <c r="A784" s="2"/>
      <c r="B784" s="2"/>
      <c r="C784" s="2"/>
    </row>
    <row r="785" spans="1:3" ht="18.75" customHeight="1">
      <c r="A785" s="2"/>
      <c r="B785" s="2"/>
      <c r="C785" s="2"/>
    </row>
    <row r="786" spans="1:3" ht="18.75" customHeight="1">
      <c r="A786" s="2"/>
      <c r="B786" s="2"/>
      <c r="C786" s="2"/>
    </row>
    <row r="787" spans="1:3" ht="18.75" customHeight="1">
      <c r="A787" s="2"/>
      <c r="B787" s="2"/>
      <c r="C787" s="2"/>
    </row>
    <row r="788" spans="1:3" ht="18.75" customHeight="1">
      <c r="A788" s="2"/>
      <c r="B788" s="2"/>
      <c r="C788" s="2"/>
    </row>
    <row r="789" spans="1:3" ht="18.75" customHeight="1">
      <c r="A789" s="2"/>
      <c r="B789" s="2"/>
      <c r="C789" s="2"/>
    </row>
    <row r="790" spans="1:3" ht="18.75" customHeight="1">
      <c r="A790" s="2"/>
      <c r="B790" s="2"/>
      <c r="C790" s="2"/>
    </row>
    <row r="791" spans="1:3" ht="18.75" customHeight="1">
      <c r="A791" s="2"/>
      <c r="B791" s="2"/>
      <c r="C791" s="2"/>
    </row>
    <row r="792" spans="1:3" ht="18.75" customHeight="1">
      <c r="A792" s="2"/>
      <c r="B792" s="2"/>
      <c r="C792" s="2"/>
    </row>
    <row r="793" spans="1:3" ht="18.75" customHeight="1">
      <c r="A793" s="2"/>
      <c r="B793" s="2"/>
      <c r="C793" s="2"/>
    </row>
    <row r="794" spans="1:3" ht="18.75" customHeight="1">
      <c r="A794" s="2"/>
      <c r="B794" s="2"/>
      <c r="C794" s="2"/>
    </row>
    <row r="795" spans="1:3" ht="18.75" customHeight="1">
      <c r="A795" s="2"/>
      <c r="B795" s="2"/>
      <c r="C795" s="2"/>
    </row>
    <row r="796" spans="1:3" ht="18.75" customHeight="1">
      <c r="A796" s="2"/>
      <c r="B796" s="2"/>
      <c r="C796" s="2"/>
    </row>
    <row r="797" spans="1:3" ht="18.75" customHeight="1">
      <c r="A797" s="2"/>
      <c r="B797" s="2"/>
      <c r="C797" s="2"/>
    </row>
    <row r="798" spans="1:3" ht="18.75" customHeight="1">
      <c r="A798" s="2"/>
      <c r="B798" s="2"/>
      <c r="C798" s="2"/>
    </row>
    <row r="799" spans="1:3" ht="18.75" customHeight="1">
      <c r="A799" s="2"/>
      <c r="B799" s="2"/>
      <c r="C799" s="2"/>
    </row>
    <row r="800" spans="1:3" ht="18.75" customHeight="1">
      <c r="A800" s="2"/>
      <c r="B800" s="2"/>
      <c r="C800" s="2"/>
    </row>
    <row r="801" spans="1:3" ht="18.75" customHeight="1">
      <c r="A801" s="2"/>
      <c r="B801" s="2"/>
      <c r="C801" s="2"/>
    </row>
    <row r="802" spans="1:3" ht="18.75" customHeight="1">
      <c r="A802" s="2"/>
      <c r="B802" s="2"/>
      <c r="C802" s="2"/>
    </row>
    <row r="803" spans="1:3" ht="18.75" customHeight="1">
      <c r="A803" s="2"/>
      <c r="B803" s="2"/>
      <c r="C803" s="2"/>
    </row>
    <row r="804" spans="1:3" ht="18.75" customHeight="1">
      <c r="A804" s="2"/>
      <c r="B804" s="2"/>
      <c r="C804" s="2"/>
    </row>
    <row r="805" spans="1:3" ht="18.75" customHeight="1">
      <c r="A805" s="2"/>
      <c r="B805" s="2"/>
      <c r="C805" s="2"/>
    </row>
    <row r="806" spans="1:3" ht="18.75" customHeight="1">
      <c r="A806" s="2"/>
      <c r="B806" s="2"/>
      <c r="C806" s="2"/>
    </row>
    <row r="807" spans="1:3" ht="18.75" customHeight="1">
      <c r="A807" s="2"/>
      <c r="B807" s="2"/>
      <c r="C807" s="2"/>
    </row>
    <row r="808" spans="1:3" ht="18.75" customHeight="1">
      <c r="A808" s="2"/>
      <c r="B808" s="2"/>
      <c r="C808" s="2"/>
    </row>
    <row r="809" spans="1:3" ht="18.75" customHeight="1">
      <c r="A809" s="2"/>
      <c r="B809" s="2"/>
      <c r="C809" s="2"/>
    </row>
    <row r="810" spans="1:3" ht="18.75" customHeight="1">
      <c r="A810" s="2"/>
      <c r="B810" s="2"/>
      <c r="C810" s="2"/>
    </row>
    <row r="811" spans="1:3" ht="18.75" customHeight="1">
      <c r="A811" s="2"/>
      <c r="B811" s="2"/>
      <c r="C811" s="2"/>
    </row>
    <row r="812" spans="1:3" ht="18.75" customHeight="1">
      <c r="A812" s="2"/>
      <c r="B812" s="2"/>
      <c r="C812" s="2"/>
    </row>
    <row r="813" spans="1:3" ht="18.75" customHeight="1">
      <c r="A813" s="2"/>
      <c r="B813" s="2"/>
      <c r="C813" s="2"/>
    </row>
    <row r="814" spans="1:3" ht="18.75" customHeight="1">
      <c r="A814" s="2"/>
      <c r="B814" s="2"/>
      <c r="C814" s="2"/>
    </row>
    <row r="815" spans="1:3" ht="18.75" customHeight="1">
      <c r="A815" s="2"/>
      <c r="B815" s="2"/>
      <c r="C815" s="2"/>
    </row>
    <row r="816" spans="1:3" ht="18.75" customHeight="1">
      <c r="A816" s="2"/>
      <c r="B816" s="2"/>
      <c r="C816" s="2"/>
    </row>
    <row r="817" spans="1:3" ht="18.75" customHeight="1">
      <c r="A817" s="2"/>
      <c r="B817" s="2"/>
      <c r="C817" s="2"/>
    </row>
    <row r="818" spans="1:3" ht="18.75" customHeight="1">
      <c r="A818" s="2"/>
      <c r="B818" s="2"/>
      <c r="C818" s="2"/>
    </row>
    <row r="819" spans="1:3" ht="18.75" customHeight="1">
      <c r="A819" s="2"/>
      <c r="B819" s="2"/>
      <c r="C819" s="2"/>
    </row>
    <row r="820" spans="1:3" ht="18.75" customHeight="1">
      <c r="A820" s="2"/>
      <c r="B820" s="2"/>
      <c r="C820" s="2"/>
    </row>
    <row r="821" spans="1:3" ht="18.75" customHeight="1">
      <c r="A821" s="2"/>
      <c r="B821" s="2"/>
      <c r="C821" s="2"/>
    </row>
    <row r="822" spans="1:3" ht="18.75" customHeight="1">
      <c r="A822" s="2"/>
      <c r="B822" s="2"/>
      <c r="C822" s="2"/>
    </row>
    <row r="823" spans="1:3" ht="18.75" customHeight="1">
      <c r="A823" s="2"/>
      <c r="B823" s="2"/>
      <c r="C823" s="2"/>
    </row>
    <row r="824" spans="1:3" ht="18.75" customHeight="1">
      <c r="A824" s="2"/>
      <c r="B824" s="2"/>
      <c r="C824" s="2"/>
    </row>
    <row r="825" spans="1:3" ht="18.75" customHeight="1">
      <c r="A825" s="2"/>
      <c r="B825" s="2"/>
      <c r="C825" s="2"/>
    </row>
    <row r="826" spans="1:3" ht="18.75" customHeight="1">
      <c r="A826" s="2"/>
      <c r="B826" s="2"/>
      <c r="C826" s="2"/>
    </row>
    <row r="827" spans="1:3" ht="18.75" customHeight="1">
      <c r="A827" s="2"/>
      <c r="B827" s="2"/>
      <c r="C827" s="2"/>
    </row>
    <row r="828" spans="1:3" ht="18.75" customHeight="1">
      <c r="A828" s="2"/>
      <c r="B828" s="2"/>
      <c r="C828" s="2"/>
    </row>
    <row r="829" spans="1:3" ht="18.75" customHeight="1">
      <c r="A829" s="2"/>
      <c r="B829" s="2"/>
      <c r="C829" s="2"/>
    </row>
    <row r="830" spans="1:3" ht="18.75" customHeight="1">
      <c r="A830" s="2"/>
      <c r="B830" s="2"/>
      <c r="C830" s="2"/>
    </row>
    <row r="831" spans="1:3" ht="18.75" customHeight="1">
      <c r="A831" s="2"/>
      <c r="B831" s="2"/>
      <c r="C831" s="2"/>
    </row>
    <row r="832" spans="1:3" ht="18.75" customHeight="1">
      <c r="A832" s="2"/>
      <c r="B832" s="2"/>
      <c r="C832" s="2"/>
    </row>
    <row r="833" spans="1:3" ht="18.75" customHeight="1">
      <c r="A833" s="2"/>
      <c r="B833" s="2"/>
      <c r="C833" s="2"/>
    </row>
    <row r="834" spans="1:3" ht="18.75" customHeight="1">
      <c r="A834" s="2"/>
      <c r="B834" s="2"/>
      <c r="C834" s="2"/>
    </row>
    <row r="835" spans="1:3" ht="18.75" customHeight="1">
      <c r="A835" s="2"/>
      <c r="B835" s="2"/>
      <c r="C835" s="2"/>
    </row>
    <row r="836" spans="1:3" ht="18.75" customHeight="1">
      <c r="A836" s="2"/>
      <c r="B836" s="2"/>
      <c r="C836" s="2"/>
    </row>
    <row r="837" spans="1:3" ht="18.75" customHeight="1">
      <c r="A837" s="2"/>
      <c r="B837" s="2"/>
      <c r="C837" s="2"/>
    </row>
    <row r="838" spans="1:3" ht="18.75" customHeight="1">
      <c r="A838" s="2"/>
      <c r="B838" s="2"/>
      <c r="C838" s="2"/>
    </row>
    <row r="839" spans="1:3" ht="18.75" customHeight="1">
      <c r="A839" s="2"/>
      <c r="B839" s="2"/>
      <c r="C839" s="2"/>
    </row>
    <row r="840" spans="1:3" ht="18.75" customHeight="1">
      <c r="A840" s="2"/>
      <c r="B840" s="2"/>
      <c r="C840" s="2"/>
    </row>
    <row r="841" spans="1:3" ht="18.75" customHeight="1">
      <c r="A841" s="2"/>
      <c r="B841" s="2"/>
      <c r="C841" s="2"/>
    </row>
    <row r="842" spans="1:3" ht="18.75" customHeight="1">
      <c r="A842" s="2"/>
      <c r="B842" s="2"/>
      <c r="C842" s="2"/>
    </row>
    <row r="843" spans="1:3" ht="18.75" customHeight="1">
      <c r="A843" s="2"/>
      <c r="B843" s="2"/>
      <c r="C843" s="2"/>
    </row>
    <row r="844" spans="1:3" ht="18.75" customHeight="1">
      <c r="A844" s="2"/>
      <c r="B844" s="2"/>
      <c r="C844" s="2"/>
    </row>
    <row r="845" spans="1:3" ht="18.75" customHeight="1">
      <c r="A845" s="2"/>
      <c r="B845" s="2"/>
      <c r="C845" s="2"/>
    </row>
    <row r="846" spans="1:3" ht="18.75" customHeight="1">
      <c r="A846" s="2"/>
      <c r="B846" s="2"/>
      <c r="C846" s="2"/>
    </row>
    <row r="847" spans="1:3" ht="18.75" customHeight="1">
      <c r="A847" s="2"/>
      <c r="B847" s="2"/>
      <c r="C847" s="2"/>
    </row>
    <row r="848" spans="1:3" ht="18.75" customHeight="1">
      <c r="A848" s="2"/>
      <c r="B848" s="2"/>
      <c r="C848" s="2"/>
    </row>
    <row r="849" spans="1:3" ht="18.75" customHeight="1">
      <c r="A849" s="2"/>
      <c r="B849" s="2"/>
      <c r="C849" s="2"/>
    </row>
    <row r="850" spans="1:3" ht="18.75" customHeight="1">
      <c r="A850" s="2"/>
      <c r="B850" s="2"/>
      <c r="C850" s="2"/>
    </row>
    <row r="851" spans="1:3" ht="18.75" customHeight="1">
      <c r="A851" s="2"/>
      <c r="B851" s="2"/>
      <c r="C851" s="2"/>
    </row>
    <row r="852" spans="1:3" ht="18.75" customHeight="1">
      <c r="A852" s="2"/>
      <c r="B852" s="2"/>
      <c r="C852" s="2"/>
    </row>
    <row r="853" spans="1:3" ht="18.75" customHeight="1">
      <c r="A853" s="2"/>
      <c r="B853" s="2"/>
      <c r="C853" s="2"/>
    </row>
    <row r="854" spans="1:3" ht="18.75" customHeight="1">
      <c r="A854" s="2"/>
      <c r="B854" s="2"/>
      <c r="C854" s="2"/>
    </row>
    <row r="855" spans="1:3" ht="18.75" customHeight="1">
      <c r="A855" s="2"/>
      <c r="B855" s="2"/>
      <c r="C855" s="2"/>
    </row>
    <row r="856" spans="1:3" ht="18.75" customHeight="1">
      <c r="A856" s="2"/>
      <c r="B856" s="2"/>
      <c r="C856" s="2"/>
    </row>
    <row r="857" spans="1:3" ht="18.75" customHeight="1">
      <c r="A857" s="2"/>
      <c r="B857" s="2"/>
      <c r="C857" s="2"/>
    </row>
    <row r="858" spans="1:3" ht="18.75" customHeight="1">
      <c r="A858" s="2"/>
      <c r="B858" s="2"/>
      <c r="C858" s="2"/>
    </row>
    <row r="859" spans="1:3" ht="18.75" customHeight="1">
      <c r="A859" s="2"/>
      <c r="B859" s="2"/>
      <c r="C859" s="2"/>
    </row>
    <row r="860" spans="1:3" ht="18.75" customHeight="1">
      <c r="A860" s="2"/>
      <c r="B860" s="2"/>
      <c r="C860" s="2"/>
    </row>
    <row r="861" spans="1:3" ht="18.75" customHeight="1">
      <c r="A861" s="2"/>
      <c r="B861" s="2"/>
      <c r="C861" s="2"/>
    </row>
    <row r="862" spans="1:3" ht="18.75" customHeight="1">
      <c r="A862" s="2"/>
      <c r="B862" s="2"/>
      <c r="C862" s="2"/>
    </row>
    <row r="863" spans="1:3" ht="18.75" customHeight="1">
      <c r="A863" s="2"/>
      <c r="B863" s="2"/>
      <c r="C863" s="2"/>
    </row>
    <row r="864" spans="1:3" ht="18.75" customHeight="1">
      <c r="A864" s="2"/>
      <c r="B864" s="2"/>
      <c r="C864" s="2"/>
    </row>
    <row r="865" spans="1:3" ht="18.75" customHeight="1">
      <c r="A865" s="2"/>
      <c r="B865" s="2"/>
      <c r="C865" s="2"/>
    </row>
    <row r="866" spans="1:3" ht="18.75" customHeight="1">
      <c r="A866" s="2"/>
      <c r="B866" s="2"/>
      <c r="C866" s="2"/>
    </row>
    <row r="867" spans="1:3" ht="18.75" customHeight="1">
      <c r="A867" s="2"/>
      <c r="B867" s="2"/>
      <c r="C867" s="2"/>
    </row>
    <row r="868" spans="1:3" ht="18.75" customHeight="1">
      <c r="A868" s="2"/>
      <c r="B868" s="2"/>
      <c r="C868" s="2"/>
    </row>
    <row r="869" spans="1:3" ht="18.75" customHeight="1">
      <c r="A869" s="2"/>
      <c r="B869" s="2"/>
      <c r="C869" s="2"/>
    </row>
    <row r="870" spans="1:3" ht="18.75" customHeight="1">
      <c r="A870" s="2"/>
      <c r="B870" s="2"/>
      <c r="C870" s="2"/>
    </row>
    <row r="871" spans="1:3" ht="18.75" customHeight="1">
      <c r="A871" s="2"/>
      <c r="B871" s="2"/>
      <c r="C871" s="2"/>
    </row>
    <row r="872" spans="1:3" ht="18.75" customHeight="1">
      <c r="A872" s="2"/>
      <c r="B872" s="2"/>
      <c r="C872" s="2"/>
    </row>
    <row r="873" spans="1:3" ht="18.75" customHeight="1">
      <c r="A873" s="2"/>
      <c r="B873" s="2"/>
      <c r="C873" s="2"/>
    </row>
    <row r="874" spans="1:3" ht="18.75" customHeight="1">
      <c r="A874" s="2"/>
      <c r="B874" s="2"/>
      <c r="C874" s="2"/>
    </row>
    <row r="875" spans="1:3" ht="18.75" customHeight="1">
      <c r="A875" s="2"/>
      <c r="B875" s="2"/>
      <c r="C875" s="2"/>
    </row>
    <row r="876" spans="1:3" ht="18.75" customHeight="1">
      <c r="A876" s="2"/>
      <c r="B876" s="2"/>
      <c r="C876" s="2"/>
    </row>
    <row r="877" spans="1:3" ht="18.75" customHeight="1">
      <c r="A877" s="2"/>
      <c r="B877" s="2"/>
      <c r="C877" s="2"/>
    </row>
    <row r="878" spans="1:3" ht="18.75" customHeight="1">
      <c r="A878" s="2"/>
      <c r="B878" s="2"/>
      <c r="C878" s="2"/>
    </row>
    <row r="879" spans="1:3" ht="18.75" customHeight="1">
      <c r="A879" s="2"/>
      <c r="B879" s="2"/>
      <c r="C879" s="2"/>
    </row>
    <row r="880" spans="1:3" ht="18.75" customHeight="1">
      <c r="A880" s="2"/>
      <c r="B880" s="2"/>
      <c r="C880" s="2"/>
    </row>
    <row r="881" spans="1:3" ht="18.75" customHeight="1">
      <c r="A881" s="2"/>
      <c r="B881" s="2"/>
      <c r="C881" s="2"/>
    </row>
    <row r="882" spans="1:3" ht="18.75" customHeight="1">
      <c r="A882" s="2"/>
      <c r="B882" s="2"/>
      <c r="C882" s="2"/>
    </row>
    <row r="883" spans="1:3" ht="18.75" customHeight="1">
      <c r="A883" s="2"/>
      <c r="B883" s="2"/>
      <c r="C883" s="2"/>
    </row>
    <row r="884" spans="1:3" ht="18.75" customHeight="1">
      <c r="A884" s="2"/>
      <c r="B884" s="2"/>
      <c r="C884" s="2"/>
    </row>
    <row r="885" spans="1:3" ht="18.75" customHeight="1">
      <c r="A885" s="2"/>
      <c r="B885" s="2"/>
      <c r="C885" s="2"/>
    </row>
    <row r="886" spans="1:3" ht="18.75" customHeight="1">
      <c r="A886" s="2"/>
      <c r="B886" s="2"/>
      <c r="C886" s="2"/>
    </row>
    <row r="887" spans="1:3" ht="18.75" customHeight="1">
      <c r="A887" s="2"/>
      <c r="B887" s="2"/>
      <c r="C887" s="2"/>
    </row>
    <row r="888" spans="1:3" ht="18.75" customHeight="1">
      <c r="A888" s="2"/>
      <c r="B888" s="2"/>
      <c r="C888" s="2"/>
    </row>
    <row r="889" spans="1:3" ht="18.75" customHeight="1">
      <c r="A889" s="2"/>
      <c r="B889" s="2"/>
      <c r="C889" s="2"/>
    </row>
    <row r="890" spans="1:3" ht="18.75" customHeight="1">
      <c r="A890" s="2"/>
      <c r="B890" s="2"/>
      <c r="C890" s="2"/>
    </row>
    <row r="891" spans="1:3" ht="18.75" customHeight="1">
      <c r="A891" s="2"/>
      <c r="B891" s="2"/>
      <c r="C891" s="2"/>
    </row>
    <row r="892" spans="1:3" ht="18.75" customHeight="1">
      <c r="A892" s="2"/>
      <c r="B892" s="2"/>
      <c r="C892" s="2"/>
    </row>
    <row r="893" spans="1:3" ht="18.75" customHeight="1">
      <c r="A893" s="2"/>
      <c r="B893" s="2"/>
      <c r="C893" s="2"/>
    </row>
    <row r="894" spans="1:3" ht="18.75" customHeight="1">
      <c r="A894" s="2"/>
      <c r="B894" s="2"/>
      <c r="C894" s="2"/>
    </row>
    <row r="895" spans="1:3" ht="18.75" customHeight="1">
      <c r="A895" s="2"/>
      <c r="B895" s="2"/>
      <c r="C895" s="2"/>
    </row>
    <row r="896" spans="1:3" ht="18.75" customHeight="1">
      <c r="A896" s="2"/>
      <c r="B896" s="2"/>
      <c r="C896" s="2"/>
    </row>
    <row r="897" spans="1:3" ht="18.75" customHeight="1">
      <c r="A897" s="2"/>
      <c r="B897" s="2"/>
      <c r="C897" s="2"/>
    </row>
    <row r="898" spans="1:3" ht="18.75" customHeight="1">
      <c r="A898" s="2"/>
      <c r="B898" s="2"/>
      <c r="C898" s="2"/>
    </row>
    <row r="899" spans="1:3" ht="18.75" customHeight="1">
      <c r="A899" s="2"/>
      <c r="B899" s="2"/>
      <c r="C899" s="2"/>
    </row>
    <row r="900" spans="1:3" ht="18.75" customHeight="1">
      <c r="A900" s="2"/>
      <c r="B900" s="2"/>
      <c r="C900" s="2"/>
    </row>
    <row r="901" spans="1:3" ht="18.75" customHeight="1">
      <c r="A901" s="2"/>
      <c r="B901" s="2"/>
      <c r="C901" s="2"/>
    </row>
    <row r="902" spans="1:3" ht="18.75" customHeight="1">
      <c r="A902" s="2"/>
      <c r="B902" s="2"/>
      <c r="C902" s="2"/>
    </row>
    <row r="903" spans="1:3" ht="18.75" customHeight="1">
      <c r="A903" s="2"/>
      <c r="B903" s="2"/>
      <c r="C903" s="2"/>
    </row>
    <row r="904" spans="1:3" ht="18.75" customHeight="1">
      <c r="A904" s="2"/>
      <c r="B904" s="2"/>
      <c r="C904" s="2"/>
    </row>
    <row r="905" spans="1:3" ht="18.75" customHeight="1">
      <c r="A905" s="2"/>
      <c r="B905" s="2"/>
      <c r="C905" s="2"/>
    </row>
    <row r="906" spans="1:3" ht="18.75" customHeight="1">
      <c r="A906" s="2"/>
      <c r="B906" s="2"/>
      <c r="C906" s="2"/>
    </row>
    <row r="907" spans="1:3" ht="18.75" customHeight="1">
      <c r="A907" s="2"/>
      <c r="B907" s="2"/>
      <c r="C907" s="2"/>
    </row>
    <row r="908" spans="1:3" ht="18.75" customHeight="1">
      <c r="A908" s="2"/>
      <c r="B908" s="2"/>
      <c r="C908" s="2"/>
    </row>
    <row r="909" spans="1:3" ht="18.75" customHeight="1">
      <c r="A909" s="2"/>
      <c r="B909" s="2"/>
      <c r="C909" s="2"/>
    </row>
    <row r="910" spans="1:3" ht="18.75" customHeight="1">
      <c r="A910" s="2"/>
      <c r="B910" s="2"/>
      <c r="C910" s="2"/>
    </row>
    <row r="911" spans="1:3" ht="18.75" customHeight="1">
      <c r="A911" s="2"/>
      <c r="B911" s="2"/>
      <c r="C911" s="2"/>
    </row>
    <row r="912" spans="1:3" ht="18.75" customHeight="1">
      <c r="A912" s="2"/>
      <c r="B912" s="2"/>
      <c r="C912" s="2"/>
    </row>
    <row r="913" spans="1:3" ht="18.75" customHeight="1">
      <c r="A913" s="2"/>
      <c r="B913" s="2"/>
      <c r="C913" s="2"/>
    </row>
    <row r="914" spans="1:3" ht="18.75" customHeight="1">
      <c r="A914" s="2"/>
      <c r="B914" s="2"/>
      <c r="C914" s="2"/>
    </row>
    <row r="915" spans="1:3" ht="18.75" customHeight="1">
      <c r="A915" s="2"/>
      <c r="B915" s="2"/>
      <c r="C915" s="2"/>
    </row>
    <row r="916" spans="1:3" ht="18.75" customHeight="1">
      <c r="A916" s="2"/>
      <c r="B916" s="2"/>
      <c r="C916" s="2"/>
    </row>
    <row r="917" spans="1:3" ht="18.75" customHeight="1">
      <c r="A917" s="2"/>
      <c r="B917" s="2"/>
      <c r="C917" s="2"/>
    </row>
    <row r="918" spans="1:3" ht="18.75" customHeight="1">
      <c r="A918" s="2"/>
      <c r="B918" s="2"/>
      <c r="C918" s="2"/>
    </row>
    <row r="919" spans="1:3" ht="18.75" customHeight="1">
      <c r="A919" s="2"/>
      <c r="B919" s="2"/>
      <c r="C919" s="2"/>
    </row>
    <row r="920" spans="1:3" ht="18.75" customHeight="1">
      <c r="A920" s="2"/>
      <c r="B920" s="2"/>
      <c r="C920" s="2"/>
    </row>
    <row r="921" spans="1:3" ht="18.75" customHeight="1">
      <c r="A921" s="2"/>
      <c r="B921" s="2"/>
      <c r="C921" s="2"/>
    </row>
    <row r="922" spans="1:3" ht="18.75" customHeight="1">
      <c r="A922" s="2"/>
      <c r="B922" s="2"/>
      <c r="C922" s="2"/>
    </row>
    <row r="923" spans="1:3" ht="18.75" customHeight="1">
      <c r="A923" s="2"/>
      <c r="B923" s="2"/>
      <c r="C923" s="2"/>
    </row>
    <row r="924" spans="1:3" ht="18.75" customHeight="1">
      <c r="A924" s="2"/>
      <c r="B924" s="2"/>
      <c r="C924" s="2"/>
    </row>
    <row r="925" spans="1:3" ht="18.75" customHeight="1">
      <c r="A925" s="2"/>
      <c r="B925" s="2"/>
      <c r="C925" s="2"/>
    </row>
    <row r="926" spans="1:3" ht="18.75" customHeight="1">
      <c r="A926" s="2"/>
      <c r="B926" s="2"/>
      <c r="C926" s="2"/>
    </row>
    <row r="927" spans="1:3" ht="18.75" customHeight="1">
      <c r="A927" s="2"/>
      <c r="B927" s="2"/>
      <c r="C927" s="2"/>
    </row>
    <row r="928" spans="1:3" ht="18.75" customHeight="1">
      <c r="A928" s="2"/>
      <c r="B928" s="2"/>
      <c r="C928" s="2"/>
    </row>
    <row r="929" spans="1:3" ht="18.75" customHeight="1">
      <c r="A929" s="2"/>
      <c r="B929" s="2"/>
      <c r="C929" s="2"/>
    </row>
    <row r="930" spans="1:3" ht="18.75" customHeight="1">
      <c r="A930" s="2"/>
      <c r="B930" s="2"/>
      <c r="C930" s="2"/>
    </row>
    <row r="931" spans="1:3" ht="18.75" customHeight="1">
      <c r="A931" s="2"/>
      <c r="B931" s="2"/>
      <c r="C931" s="2"/>
    </row>
    <row r="932" spans="1:3" ht="18.75" customHeight="1">
      <c r="A932" s="2"/>
      <c r="B932" s="2"/>
      <c r="C932" s="2"/>
    </row>
    <row r="933" spans="1:3" ht="18.75" customHeight="1">
      <c r="A933" s="2"/>
      <c r="B933" s="2"/>
      <c r="C933" s="2"/>
    </row>
    <row r="934" spans="1:3" ht="18.75" customHeight="1">
      <c r="A934" s="2"/>
      <c r="B934" s="2"/>
      <c r="C934" s="2"/>
    </row>
    <row r="935" spans="1:3" ht="18.75" customHeight="1">
      <c r="A935" s="2"/>
      <c r="B935" s="2"/>
      <c r="C935" s="2"/>
    </row>
    <row r="936" spans="1:3" ht="18.75" customHeight="1">
      <c r="A936" s="2"/>
      <c r="B936" s="2"/>
      <c r="C936" s="2"/>
    </row>
    <row r="937" spans="1:3" ht="18.75" customHeight="1">
      <c r="A937" s="2"/>
      <c r="B937" s="2"/>
      <c r="C937" s="2"/>
    </row>
    <row r="938" spans="1:3" ht="18.75" customHeight="1">
      <c r="A938" s="2"/>
      <c r="B938" s="2"/>
      <c r="C938" s="2"/>
    </row>
    <row r="939" spans="1:3" ht="18.75" customHeight="1">
      <c r="A939" s="2"/>
      <c r="B939" s="2"/>
      <c r="C939" s="2"/>
    </row>
    <row r="940" spans="1:3" ht="18.75" customHeight="1">
      <c r="A940" s="2"/>
      <c r="B940" s="2"/>
      <c r="C940" s="2"/>
    </row>
    <row r="941" spans="1:3" ht="18.75" customHeight="1">
      <c r="A941" s="2"/>
      <c r="B941" s="2"/>
      <c r="C941" s="2"/>
    </row>
    <row r="942" spans="1:3" ht="18.75" customHeight="1">
      <c r="A942" s="2"/>
      <c r="B942" s="2"/>
      <c r="C942" s="2"/>
    </row>
    <row r="943" spans="1:3" ht="18.75" customHeight="1">
      <c r="A943" s="2"/>
      <c r="B943" s="2"/>
      <c r="C943" s="2"/>
    </row>
    <row r="944" spans="1:3" ht="18.75" customHeight="1">
      <c r="A944" s="2"/>
      <c r="B944" s="2"/>
      <c r="C944" s="2"/>
    </row>
    <row r="945" spans="1:3" ht="18.75" customHeight="1">
      <c r="A945" s="2"/>
      <c r="B945" s="2"/>
      <c r="C945" s="2"/>
    </row>
    <row r="946" spans="1:3" ht="18.75" customHeight="1">
      <c r="A946" s="2"/>
      <c r="B946" s="2"/>
      <c r="C946" s="2"/>
    </row>
    <row r="947" spans="1:3" ht="18.75" customHeight="1">
      <c r="A947" s="2"/>
      <c r="B947" s="2"/>
      <c r="C947" s="2"/>
    </row>
    <row r="948" spans="1:3" ht="18.75" customHeight="1">
      <c r="A948" s="2"/>
      <c r="B948" s="2"/>
      <c r="C948" s="2"/>
    </row>
    <row r="949" spans="1:3" ht="18.75" customHeight="1">
      <c r="A949" s="2"/>
      <c r="B949" s="2"/>
      <c r="C949" s="2"/>
    </row>
    <row r="950" spans="1:3" ht="18.75" customHeight="1">
      <c r="A950" s="2"/>
      <c r="B950" s="2"/>
      <c r="C950" s="2"/>
    </row>
    <row r="951" spans="1:3" ht="18.75" customHeight="1">
      <c r="A951" s="2"/>
      <c r="B951" s="2"/>
      <c r="C951" s="2"/>
    </row>
    <row r="952" spans="1:3" ht="18.75" customHeight="1">
      <c r="A952" s="2"/>
      <c r="B952" s="2"/>
      <c r="C952" s="2"/>
    </row>
    <row r="953" spans="1:3" ht="18.75" customHeight="1">
      <c r="A953" s="2"/>
      <c r="B953" s="2"/>
      <c r="C953" s="2"/>
    </row>
    <row r="954" spans="1:3" ht="18.75" customHeight="1">
      <c r="A954" s="2"/>
      <c r="B954" s="2"/>
      <c r="C954" s="2"/>
    </row>
    <row r="955" spans="1:3" ht="18.75" customHeight="1">
      <c r="A955" s="2"/>
      <c r="B955" s="2"/>
      <c r="C955" s="2"/>
    </row>
    <row r="956" spans="1:3" ht="18.75" customHeight="1">
      <c r="A956" s="2"/>
      <c r="B956" s="2"/>
      <c r="C956" s="2"/>
    </row>
    <row r="957" spans="1:3" ht="18.75" customHeight="1">
      <c r="A957" s="2"/>
      <c r="B957" s="2"/>
      <c r="C957" s="2"/>
    </row>
    <row r="958" spans="1:3" ht="18.75" customHeight="1">
      <c r="A958" s="2"/>
      <c r="B958" s="2"/>
      <c r="C958" s="2"/>
    </row>
    <row r="959" spans="1:3" ht="18.75" customHeight="1">
      <c r="A959" s="2"/>
      <c r="B959" s="2"/>
      <c r="C959" s="2"/>
    </row>
    <row r="960" spans="1:3" ht="18.75" customHeight="1">
      <c r="A960" s="2"/>
      <c r="B960" s="2"/>
      <c r="C960" s="2"/>
    </row>
    <row r="961" spans="1:3" ht="18.75" customHeight="1">
      <c r="A961" s="2"/>
      <c r="B961" s="2"/>
      <c r="C961" s="2"/>
    </row>
    <row r="962" spans="1:3" ht="18.75" customHeight="1">
      <c r="A962" s="2"/>
      <c r="B962" s="2"/>
      <c r="C962" s="2"/>
    </row>
    <row r="963" spans="1:3" ht="18.75" customHeight="1">
      <c r="A963" s="2"/>
      <c r="B963" s="2"/>
      <c r="C963" s="2"/>
    </row>
    <row r="964" spans="1:3" ht="18.75" customHeight="1">
      <c r="A964" s="2"/>
      <c r="B964" s="2"/>
      <c r="C964" s="2"/>
    </row>
    <row r="965" spans="1:3" ht="18.75" customHeight="1">
      <c r="A965" s="2"/>
      <c r="B965" s="2"/>
      <c r="C965" s="2"/>
    </row>
    <row r="966" spans="1:3" ht="18.75" customHeight="1">
      <c r="A966" s="2"/>
      <c r="B966" s="2"/>
      <c r="C966" s="2"/>
    </row>
    <row r="967" spans="1:3" ht="18.75" customHeight="1">
      <c r="A967" s="2"/>
      <c r="B967" s="2"/>
      <c r="C967" s="2"/>
    </row>
    <row r="968" spans="1:3" ht="18.75" customHeight="1">
      <c r="A968" s="2"/>
      <c r="B968" s="2"/>
      <c r="C968" s="2"/>
    </row>
    <row r="969" spans="1:3" ht="18.75" customHeight="1">
      <c r="A969" s="2"/>
      <c r="B969" s="2"/>
      <c r="C969" s="2"/>
    </row>
    <row r="970" spans="1:3" ht="18.75" customHeight="1">
      <c r="A970" s="2"/>
      <c r="B970" s="2"/>
      <c r="C970" s="2"/>
    </row>
    <row r="971" spans="1:3" ht="18.75" customHeight="1">
      <c r="A971" s="2"/>
      <c r="B971" s="2"/>
      <c r="C971" s="2"/>
    </row>
    <row r="972" spans="1:3" ht="18.75" customHeight="1">
      <c r="A972" s="2"/>
      <c r="B972" s="2"/>
      <c r="C972" s="2"/>
    </row>
    <row r="973" spans="1:3" ht="18.75" customHeight="1">
      <c r="A973" s="2"/>
      <c r="B973" s="2"/>
      <c r="C973" s="2"/>
    </row>
    <row r="974" spans="1:3" ht="18.75" customHeight="1">
      <c r="A974" s="2"/>
      <c r="B974" s="2"/>
      <c r="C974" s="2"/>
    </row>
    <row r="975" spans="1:3" ht="18.75" customHeight="1">
      <c r="A975" s="2"/>
      <c r="B975" s="2"/>
      <c r="C975" s="2"/>
    </row>
    <row r="976" spans="1:3" ht="18.75" customHeight="1">
      <c r="A976" s="2"/>
      <c r="B976" s="2"/>
      <c r="C976" s="2"/>
    </row>
    <row r="977" spans="1:3" ht="18.75" customHeight="1">
      <c r="A977" s="2"/>
      <c r="B977" s="2"/>
      <c r="C977" s="2"/>
    </row>
    <row r="978" spans="1:3" ht="18.75" customHeight="1">
      <c r="A978" s="2"/>
      <c r="B978" s="2"/>
      <c r="C978" s="2"/>
    </row>
    <row r="979" spans="1:3" ht="18.75" customHeight="1">
      <c r="A979" s="2"/>
      <c r="B979" s="2"/>
      <c r="C979" s="2"/>
    </row>
    <row r="980" spans="1:3" ht="18.75" customHeight="1">
      <c r="A980" s="2"/>
      <c r="B980" s="2"/>
      <c r="C980" s="2"/>
    </row>
    <row r="981" spans="1:3" ht="18.75" customHeight="1">
      <c r="A981" s="2"/>
      <c r="B981" s="2"/>
      <c r="C981" s="2"/>
    </row>
    <row r="982" spans="1:3" ht="18.75" customHeight="1">
      <c r="A982" s="2"/>
      <c r="B982" s="2"/>
      <c r="C982" s="2"/>
    </row>
    <row r="983" spans="1:3" ht="18.75" customHeight="1">
      <c r="A983" s="2"/>
      <c r="B983" s="2"/>
      <c r="C983" s="2"/>
    </row>
    <row r="984" spans="1:3" ht="18.75" customHeight="1">
      <c r="A984" s="2"/>
      <c r="B984" s="2"/>
      <c r="C984" s="2"/>
    </row>
    <row r="985" spans="1:3" ht="18.75" customHeight="1">
      <c r="A985" s="2"/>
      <c r="B985" s="2"/>
      <c r="C985" s="2"/>
    </row>
    <row r="986" spans="1:3" ht="18.75" customHeight="1">
      <c r="A986" s="2"/>
      <c r="B986" s="2"/>
      <c r="C986" s="2"/>
    </row>
    <row r="987" spans="1:3" ht="18.75" customHeight="1">
      <c r="A987" s="2"/>
      <c r="B987" s="2"/>
      <c r="C987" s="2"/>
    </row>
    <row r="988" spans="1:3" ht="18.75" customHeight="1">
      <c r="A988" s="2"/>
      <c r="B988" s="2"/>
      <c r="C988" s="2"/>
    </row>
    <row r="989" spans="1:3" ht="18.75" customHeight="1">
      <c r="A989" s="2"/>
      <c r="B989" s="2"/>
      <c r="C989" s="2"/>
    </row>
    <row r="990" spans="1:3" ht="18.75" customHeight="1">
      <c r="A990" s="2"/>
      <c r="B990" s="2"/>
      <c r="C990" s="2"/>
    </row>
    <row r="991" spans="1:3" ht="18.75" customHeight="1">
      <c r="A991" s="2"/>
      <c r="B991" s="2"/>
      <c r="C991" s="2"/>
    </row>
    <row r="992" spans="1:3" ht="18.75" customHeight="1">
      <c r="A992" s="2"/>
      <c r="B992" s="2"/>
      <c r="C992" s="2"/>
    </row>
    <row r="993" spans="1:3" ht="18.75" customHeight="1">
      <c r="A993" s="2"/>
      <c r="B993" s="2"/>
      <c r="C993" s="2"/>
    </row>
    <row r="994" spans="1:3" ht="18.75" customHeight="1">
      <c r="A994" s="2"/>
      <c r="B994" s="2"/>
      <c r="C994" s="2"/>
    </row>
    <row r="995" spans="1:3" ht="18.75" customHeight="1">
      <c r="A995" s="2"/>
      <c r="B995" s="2"/>
      <c r="C995" s="2"/>
    </row>
    <row r="996" spans="1:3" ht="18.75" customHeight="1">
      <c r="A996" s="2"/>
      <c r="B996" s="2"/>
      <c r="C996" s="2"/>
    </row>
    <row r="997" spans="1:3" ht="18.75" customHeight="1">
      <c r="A997" s="2"/>
      <c r="B997" s="2"/>
      <c r="C997" s="2"/>
    </row>
    <row r="998" spans="1:3" ht="18.75" customHeight="1">
      <c r="A998" s="2"/>
      <c r="B998" s="2"/>
      <c r="C998" s="2"/>
    </row>
    <row r="999" spans="1:3" ht="18.75" customHeight="1">
      <c r="A999" s="2"/>
      <c r="B999" s="2"/>
      <c r="C999" s="2"/>
    </row>
    <row r="1000" spans="1:3" ht="18.75" customHeight="1">
      <c r="A1000" s="2"/>
      <c r="B1000" s="2"/>
      <c r="C1000" s="2"/>
    </row>
  </sheetData>
  <mergeCells count="6">
    <mergeCell ref="A8:B8"/>
    <mergeCell ref="A1:N1"/>
    <mergeCell ref="A2:F2"/>
    <mergeCell ref="K4:L4"/>
    <mergeCell ref="K5:L5"/>
    <mergeCell ref="K6:L6"/>
  </mergeCells>
  <phoneticPr fontId="6"/>
  <conditionalFormatting sqref="A9:B39">
    <cfRule type="expression" dxfId="1" priority="1">
      <formula>WEEKDAY(A9,2)=7</formula>
    </cfRule>
    <cfRule type="expression" dxfId="0" priority="2">
      <formula>WEEKDAY(A9,2)=6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29" workbookViewId="0">
      <selection activeCell="E82" sqref="E82"/>
    </sheetView>
  </sheetViews>
  <sheetFormatPr defaultColWidth="14.42578125" defaultRowHeight="15" customHeight="1"/>
  <cols>
    <col min="1" max="1" width="13.140625" bestFit="1" customWidth="1"/>
    <col min="2" max="2" width="33.85546875" customWidth="1"/>
    <col min="3" max="3" width="23.5703125" customWidth="1"/>
    <col min="4" max="6" width="8.85546875" customWidth="1"/>
    <col min="7" max="26" width="8.7109375" customWidth="1"/>
  </cols>
  <sheetData>
    <row r="1" spans="1:26" ht="18.75" customHeight="1">
      <c r="A1" s="18"/>
      <c r="B1" s="12" t="s">
        <v>13</v>
      </c>
      <c r="C1" s="18" t="s">
        <v>14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18"/>
      <c r="B2" s="12" t="s">
        <v>15</v>
      </c>
      <c r="C2" s="1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18" t="s">
        <v>0</v>
      </c>
      <c r="B3" s="12" t="s">
        <v>16</v>
      </c>
      <c r="C3" s="12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>
      <c r="A4" s="18">
        <v>44927</v>
      </c>
      <c r="B4" s="12" t="s">
        <v>17</v>
      </c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>
      <c r="A5" s="18">
        <v>44928</v>
      </c>
      <c r="B5" s="12" t="s">
        <v>18</v>
      </c>
      <c r="C5" s="12" t="s">
        <v>19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>
      <c r="A6" s="18">
        <v>44935</v>
      </c>
      <c r="B6" s="12" t="s">
        <v>20</v>
      </c>
      <c r="C6" s="1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>
      <c r="A7" s="18">
        <v>44968</v>
      </c>
      <c r="B7" s="12" t="s">
        <v>21</v>
      </c>
      <c r="C7" s="1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>
      <c r="A8" s="18">
        <v>44980</v>
      </c>
      <c r="B8" s="12" t="s">
        <v>22</v>
      </c>
      <c r="C8" s="1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>
      <c r="A9" s="18">
        <v>45006</v>
      </c>
      <c r="B9" s="12" t="s">
        <v>23</v>
      </c>
      <c r="C9" s="1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>
      <c r="A10" s="18">
        <v>45045</v>
      </c>
      <c r="B10" s="12" t="s">
        <v>24</v>
      </c>
      <c r="C10" s="1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>
      <c r="A11" s="18">
        <v>45049</v>
      </c>
      <c r="B11" s="12" t="s">
        <v>25</v>
      </c>
      <c r="C11" s="1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75" customHeight="1">
      <c r="A12" s="18">
        <v>45050</v>
      </c>
      <c r="B12" s="12" t="s">
        <v>26</v>
      </c>
      <c r="C12" s="1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75" customHeight="1">
      <c r="A13" s="18">
        <v>45051</v>
      </c>
      <c r="B13" s="12" t="s">
        <v>27</v>
      </c>
      <c r="C13" s="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>
      <c r="A14" s="18">
        <v>45124</v>
      </c>
      <c r="B14" s="12" t="s">
        <v>28</v>
      </c>
      <c r="C14" s="1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75" customHeight="1">
      <c r="A15" s="18">
        <v>45149</v>
      </c>
      <c r="B15" s="12" t="s">
        <v>29</v>
      </c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>
      <c r="A16" s="18">
        <v>45187</v>
      </c>
      <c r="B16" s="12" t="s">
        <v>30</v>
      </c>
      <c r="C16" s="1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>
      <c r="A17" s="18">
        <v>45192</v>
      </c>
      <c r="B17" s="12" t="s">
        <v>31</v>
      </c>
      <c r="C17" s="1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>
      <c r="A18" s="18">
        <v>45208</v>
      </c>
      <c r="B18" s="12" t="s">
        <v>32</v>
      </c>
      <c r="C18" s="1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>
      <c r="A19" s="18">
        <v>45233</v>
      </c>
      <c r="B19" s="12" t="s">
        <v>33</v>
      </c>
      <c r="C19" s="1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>
      <c r="A20" s="18">
        <v>45253</v>
      </c>
      <c r="B20" s="12" t="s">
        <v>34</v>
      </c>
      <c r="C20" s="1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>
      <c r="A21" s="18"/>
      <c r="B21" s="12"/>
      <c r="C21" s="1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>
      <c r="A22" s="18"/>
      <c r="B22" s="12" t="s">
        <v>35</v>
      </c>
      <c r="C22" s="1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>
      <c r="A23" s="18" t="s">
        <v>0</v>
      </c>
      <c r="B23" s="12" t="s">
        <v>16</v>
      </c>
      <c r="C23" s="12" t="s">
        <v>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>
      <c r="A24" s="18">
        <v>45292</v>
      </c>
      <c r="B24" s="12" t="s">
        <v>17</v>
      </c>
      <c r="C24" s="1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>
      <c r="A25" s="18">
        <v>45299</v>
      </c>
      <c r="B25" s="12" t="s">
        <v>20</v>
      </c>
      <c r="C25" s="1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>
      <c r="A26" s="18">
        <v>45333</v>
      </c>
      <c r="B26" s="12" t="s">
        <v>21</v>
      </c>
      <c r="C26" s="1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>
      <c r="A27" s="18">
        <v>45334</v>
      </c>
      <c r="B27" s="12" t="s">
        <v>18</v>
      </c>
      <c r="C27" s="12" t="s">
        <v>19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75" customHeight="1">
      <c r="A28" s="18">
        <v>45345</v>
      </c>
      <c r="B28" s="12" t="s">
        <v>22</v>
      </c>
      <c r="C28" s="1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75" customHeight="1">
      <c r="A29" s="18">
        <v>45371</v>
      </c>
      <c r="B29" s="12" t="s">
        <v>23</v>
      </c>
      <c r="C29" s="1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customHeight="1">
      <c r="A30" s="18">
        <v>45411</v>
      </c>
      <c r="B30" s="12" t="s">
        <v>24</v>
      </c>
      <c r="C30" s="1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75" customHeight="1">
      <c r="A31" s="18">
        <v>45415</v>
      </c>
      <c r="B31" s="12" t="s">
        <v>25</v>
      </c>
      <c r="C31" s="1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>
      <c r="A32" s="18">
        <v>45416</v>
      </c>
      <c r="B32" s="12" t="s">
        <v>26</v>
      </c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75" customHeight="1">
      <c r="A33" s="18">
        <v>45417</v>
      </c>
      <c r="B33" s="12" t="s">
        <v>27</v>
      </c>
      <c r="C33" s="1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75" customHeight="1">
      <c r="A34" s="18">
        <v>45418</v>
      </c>
      <c r="B34" s="12" t="s">
        <v>18</v>
      </c>
      <c r="C34" s="12" t="s">
        <v>19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75" customHeight="1">
      <c r="A35" s="18">
        <v>45488</v>
      </c>
      <c r="B35" s="12" t="s">
        <v>28</v>
      </c>
      <c r="C35" s="1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75" customHeight="1">
      <c r="A36" s="18">
        <v>45515</v>
      </c>
      <c r="B36" s="12" t="s">
        <v>29</v>
      </c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75" customHeight="1">
      <c r="A37" s="18">
        <v>45516</v>
      </c>
      <c r="B37" s="12" t="s">
        <v>18</v>
      </c>
      <c r="C37" s="12" t="s">
        <v>19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75" customHeight="1">
      <c r="A38" s="18">
        <v>45551</v>
      </c>
      <c r="B38" s="12" t="s">
        <v>30</v>
      </c>
      <c r="C38" s="1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.75" customHeight="1">
      <c r="A39" s="18">
        <v>45557</v>
      </c>
      <c r="B39" s="12" t="s">
        <v>31</v>
      </c>
      <c r="C39" s="1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75" customHeight="1">
      <c r="A40" s="18">
        <v>45558</v>
      </c>
      <c r="B40" s="12" t="s">
        <v>18</v>
      </c>
      <c r="C40" s="12" t="s">
        <v>19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75" customHeight="1">
      <c r="A41" s="18">
        <v>45579</v>
      </c>
      <c r="B41" s="12" t="s">
        <v>32</v>
      </c>
      <c r="C41" s="1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75" customHeight="1">
      <c r="A42" s="18">
        <v>45599</v>
      </c>
      <c r="B42" s="12" t="s">
        <v>33</v>
      </c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75" customHeight="1">
      <c r="A43" s="18">
        <v>45600</v>
      </c>
      <c r="B43" s="12" t="s">
        <v>18</v>
      </c>
      <c r="C43" s="12" t="s">
        <v>19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.75" customHeight="1">
      <c r="A44" s="18">
        <v>45619</v>
      </c>
      <c r="B44" s="12" t="s">
        <v>34</v>
      </c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.75" customHeight="1">
      <c r="A45" s="1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.75" customHeight="1">
      <c r="A46" s="19">
        <v>45658</v>
      </c>
      <c r="B46" s="2" t="s">
        <v>17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.75" customHeight="1">
      <c r="A47" s="19">
        <v>45670</v>
      </c>
      <c r="B47" s="2" t="s">
        <v>20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.75" customHeight="1">
      <c r="A48" s="19">
        <v>45699</v>
      </c>
      <c r="B48" s="2" t="s">
        <v>21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.75" customHeight="1">
      <c r="A49" s="19">
        <v>45711</v>
      </c>
      <c r="B49" s="2" t="s">
        <v>22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.75" customHeight="1">
      <c r="A50" s="19">
        <v>45712</v>
      </c>
      <c r="B50" s="2" t="s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.75" customHeight="1">
      <c r="A51" s="19">
        <v>45736</v>
      </c>
      <c r="B51" s="2" t="s">
        <v>23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.75" customHeight="1">
      <c r="A52" s="19">
        <v>45776</v>
      </c>
      <c r="B52" s="2" t="s">
        <v>24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.75" customHeight="1">
      <c r="A53" s="19">
        <v>45780</v>
      </c>
      <c r="B53" s="2" t="s">
        <v>25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.75" customHeight="1">
      <c r="A54" s="19">
        <v>45781</v>
      </c>
      <c r="B54" s="2" t="s">
        <v>26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.75" customHeight="1">
      <c r="A55" s="19">
        <v>45782</v>
      </c>
      <c r="B55" s="2" t="s">
        <v>27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.75" customHeight="1">
      <c r="A56" s="19">
        <v>45783</v>
      </c>
      <c r="B56" s="2" t="s">
        <v>60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.75" customHeight="1">
      <c r="A57" s="19">
        <v>45859</v>
      </c>
      <c r="B57" s="2" t="s">
        <v>28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.75" customHeight="1">
      <c r="A58" s="19">
        <v>45880</v>
      </c>
      <c r="B58" s="2" t="s">
        <v>29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.75" customHeight="1">
      <c r="A59" s="19">
        <v>45915</v>
      </c>
      <c r="B59" s="2" t="s">
        <v>30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.75" customHeight="1">
      <c r="A60" s="19">
        <v>45923</v>
      </c>
      <c r="B60" s="2" t="s">
        <v>31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.75" customHeight="1">
      <c r="A61" s="19">
        <v>45943</v>
      </c>
      <c r="B61" s="2" t="s">
        <v>32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.75" customHeight="1">
      <c r="A62" s="19">
        <v>45964</v>
      </c>
      <c r="B62" s="2" t="s">
        <v>33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.75" customHeight="1">
      <c r="A63" s="19">
        <v>45984</v>
      </c>
      <c r="B63" s="2" t="s">
        <v>34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.75" customHeight="1">
      <c r="A64" s="19">
        <v>45985</v>
      </c>
      <c r="B64" s="2" t="s">
        <v>60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.75" customHeight="1">
      <c r="A65" s="1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.75" customHeight="1">
      <c r="A66" s="1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.75" customHeight="1">
      <c r="A67" s="1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.75" customHeight="1">
      <c r="A68" s="1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.75" customHeight="1">
      <c r="A69" s="1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.75" customHeight="1">
      <c r="A70" s="1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.75" customHeight="1">
      <c r="A71" s="1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.75" customHeight="1">
      <c r="A72" s="1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.75" customHeight="1">
      <c r="A73" s="1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.75" customHeight="1">
      <c r="A74" s="1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.75" customHeight="1">
      <c r="A75" s="1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.75" customHeight="1">
      <c r="A76" s="1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.75" customHeight="1">
      <c r="A77" s="1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.75" customHeight="1">
      <c r="A78" s="1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.75" customHeight="1">
      <c r="A79" s="1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.75" customHeight="1">
      <c r="A80" s="1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.75" customHeight="1">
      <c r="A81" s="1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.75" customHeight="1">
      <c r="A82" s="1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.75" customHeight="1">
      <c r="A83" s="1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.75" customHeight="1">
      <c r="A84" s="1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.75" customHeight="1">
      <c r="A85" s="1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.75" customHeight="1">
      <c r="A86" s="1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.75" customHeight="1">
      <c r="A87" s="1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.75" customHeight="1">
      <c r="A88" s="1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.75" customHeight="1">
      <c r="A89" s="1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.75" customHeight="1">
      <c r="A90" s="1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.75" customHeight="1">
      <c r="A91" s="1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.75" customHeight="1">
      <c r="A92" s="1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.75" customHeight="1">
      <c r="A93" s="1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.75" customHeight="1">
      <c r="A94" s="1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.75" customHeight="1">
      <c r="A95" s="1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.75" customHeight="1">
      <c r="A96" s="1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.75" customHeight="1">
      <c r="A97" s="1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.75" customHeight="1">
      <c r="A98" s="1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.75" customHeight="1">
      <c r="A99" s="1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.75" customHeight="1">
      <c r="A100" s="1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.75" customHeight="1">
      <c r="A101" s="1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.75" customHeight="1">
      <c r="A102" s="1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.75" customHeight="1">
      <c r="A103" s="1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.75" customHeight="1">
      <c r="A104" s="1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.75" customHeight="1">
      <c r="A105" s="1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.75" customHeight="1">
      <c r="A106" s="1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.75" customHeight="1">
      <c r="A107" s="1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.75" customHeight="1">
      <c r="A108" s="1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.75" customHeight="1">
      <c r="A109" s="1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.75" customHeight="1">
      <c r="A110" s="1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.75" customHeight="1">
      <c r="A111" s="1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.75" customHeight="1">
      <c r="A112" s="1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.75" customHeight="1">
      <c r="A113" s="1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.75" customHeight="1">
      <c r="A114" s="1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.75" customHeight="1">
      <c r="A115" s="1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.75" customHeight="1">
      <c r="A116" s="1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.75" customHeight="1">
      <c r="A117" s="1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.75" customHeight="1">
      <c r="A118" s="1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.75" customHeight="1">
      <c r="A119" s="1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.75" customHeight="1">
      <c r="A120" s="1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.75" customHeight="1">
      <c r="A121" s="1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.75" customHeight="1">
      <c r="A122" s="1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.75" customHeight="1">
      <c r="A123" s="1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.75" customHeight="1">
      <c r="A124" s="1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.75" customHeight="1">
      <c r="A125" s="1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.75" customHeight="1">
      <c r="A126" s="1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.75" customHeight="1">
      <c r="A127" s="1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.75" customHeight="1">
      <c r="A128" s="1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.75" customHeight="1">
      <c r="A129" s="1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.75" customHeight="1">
      <c r="A130" s="1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.75" customHeight="1">
      <c r="A131" s="1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.75" customHeight="1">
      <c r="A132" s="1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.75" customHeight="1">
      <c r="A133" s="1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.75" customHeight="1">
      <c r="A134" s="1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.75" customHeight="1">
      <c r="A135" s="1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.75" customHeight="1">
      <c r="A136" s="1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.75" customHeight="1">
      <c r="A137" s="1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.75" customHeight="1">
      <c r="A138" s="1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.75" customHeight="1">
      <c r="A139" s="1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.75" customHeight="1">
      <c r="A140" s="1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.75" customHeight="1">
      <c r="A141" s="1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.75" customHeight="1">
      <c r="A142" s="1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.75" customHeight="1">
      <c r="A143" s="1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.75" customHeight="1">
      <c r="A144" s="1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.75" customHeight="1">
      <c r="A145" s="1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.75" customHeight="1">
      <c r="A146" s="1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.75" customHeight="1">
      <c r="A147" s="1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.75" customHeight="1">
      <c r="A148" s="1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.75" customHeight="1">
      <c r="A149" s="1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.75" customHeight="1">
      <c r="A150" s="1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.75" customHeight="1">
      <c r="A151" s="1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.75" customHeight="1">
      <c r="A152" s="1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.75" customHeight="1">
      <c r="A153" s="1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.75" customHeight="1">
      <c r="A154" s="1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.75" customHeight="1">
      <c r="A155" s="1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.75" customHeight="1">
      <c r="A156" s="1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.75" customHeight="1">
      <c r="A157" s="1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.75" customHeight="1">
      <c r="A158" s="1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.75" customHeight="1">
      <c r="A159" s="1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.75" customHeight="1">
      <c r="A160" s="1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.75" customHeight="1">
      <c r="A161" s="1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.75" customHeight="1">
      <c r="A162" s="1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.75" customHeight="1">
      <c r="A163" s="1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.75" customHeight="1">
      <c r="A164" s="1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.75" customHeight="1">
      <c r="A165" s="1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.75" customHeight="1">
      <c r="A166" s="1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.75" customHeight="1">
      <c r="A167" s="1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.75" customHeight="1">
      <c r="A168" s="1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.75" customHeight="1">
      <c r="A169" s="1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.75" customHeight="1">
      <c r="A170" s="1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.75" customHeight="1">
      <c r="A171" s="1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.75" customHeight="1">
      <c r="A172" s="1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.75" customHeight="1">
      <c r="A173" s="1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.75" customHeight="1">
      <c r="A174" s="1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.75" customHeight="1">
      <c r="A175" s="1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.75" customHeight="1">
      <c r="A176" s="1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.75" customHeight="1">
      <c r="A177" s="1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.75" customHeight="1">
      <c r="A178" s="1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.75" customHeight="1">
      <c r="A179" s="1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.75" customHeight="1">
      <c r="A180" s="1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.75" customHeight="1">
      <c r="A181" s="1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.75" customHeight="1">
      <c r="A182" s="1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.75" customHeight="1">
      <c r="A183" s="1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.75" customHeight="1">
      <c r="A184" s="1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.75" customHeight="1">
      <c r="A185" s="1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.75" customHeight="1">
      <c r="A186" s="1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.75" customHeight="1">
      <c r="A187" s="1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.75" customHeight="1">
      <c r="A188" s="1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.75" customHeight="1">
      <c r="A189" s="1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.75" customHeight="1">
      <c r="A190" s="1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.75" customHeight="1">
      <c r="A191" s="1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.75" customHeight="1">
      <c r="A192" s="1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.75" customHeight="1">
      <c r="A193" s="1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.75" customHeight="1">
      <c r="A194" s="1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.75" customHeight="1">
      <c r="A195" s="1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.75" customHeight="1">
      <c r="A196" s="1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.75" customHeight="1">
      <c r="A197" s="1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.75" customHeight="1">
      <c r="A198" s="1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.75" customHeight="1">
      <c r="A199" s="1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.75" customHeight="1">
      <c r="A200" s="1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.75" customHeight="1">
      <c r="A201" s="1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.75" customHeight="1">
      <c r="A202" s="1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.75" customHeight="1">
      <c r="A203" s="1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.75" customHeight="1">
      <c r="A204" s="1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.75" customHeight="1">
      <c r="A205" s="1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.75" customHeight="1">
      <c r="A206" s="1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.75" customHeight="1">
      <c r="A207" s="1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.75" customHeight="1">
      <c r="A208" s="1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.75" customHeight="1">
      <c r="A209" s="1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.75" customHeight="1">
      <c r="A210" s="1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.75" customHeight="1">
      <c r="A211" s="1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.75" customHeight="1">
      <c r="A212" s="1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.75" customHeight="1">
      <c r="A213" s="1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.75" customHeight="1">
      <c r="A214" s="1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.75" customHeight="1">
      <c r="A215" s="1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.75" customHeight="1">
      <c r="A216" s="1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.75" customHeight="1">
      <c r="A217" s="1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.75" customHeight="1">
      <c r="A218" s="1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.75" customHeight="1">
      <c r="A219" s="1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.75" customHeight="1">
      <c r="A220" s="1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.75" customHeight="1">
      <c r="A221" s="1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.75" customHeight="1">
      <c r="A222" s="1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.75" customHeight="1">
      <c r="A223" s="1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.75" customHeight="1">
      <c r="A224" s="1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.75" customHeight="1">
      <c r="A225" s="1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.75" customHeight="1">
      <c r="A226" s="1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.75" customHeight="1">
      <c r="A227" s="1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.75" customHeight="1">
      <c r="A228" s="1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.75" customHeight="1">
      <c r="A229" s="1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.75" customHeight="1">
      <c r="A230" s="1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.75" customHeight="1">
      <c r="A231" s="1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.75" customHeight="1">
      <c r="A232" s="1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.75" customHeight="1">
      <c r="A233" s="1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.75" customHeight="1">
      <c r="A234" s="1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.75" customHeight="1">
      <c r="A235" s="1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.75" customHeight="1">
      <c r="A236" s="1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.75" customHeight="1">
      <c r="A237" s="1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.75" customHeight="1">
      <c r="A238" s="1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.75" customHeight="1">
      <c r="A239" s="1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.75" customHeight="1">
      <c r="A240" s="1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.75" customHeight="1">
      <c r="A241" s="1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.75" customHeight="1">
      <c r="A242" s="1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.75" customHeight="1">
      <c r="A243" s="1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.75" customHeight="1">
      <c r="A244" s="1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.75" customHeight="1">
      <c r="A245" s="1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.75" customHeight="1">
      <c r="A246" s="1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.75" customHeight="1">
      <c r="A247" s="1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.75" customHeight="1">
      <c r="A248" s="1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.75" customHeight="1">
      <c r="A249" s="1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.75" customHeight="1">
      <c r="A250" s="1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.75" customHeight="1">
      <c r="A251" s="1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.75" customHeight="1">
      <c r="A252" s="1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.75" customHeight="1">
      <c r="A253" s="1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.75" customHeight="1">
      <c r="A254" s="1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.75" customHeight="1">
      <c r="A255" s="1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.75" customHeight="1">
      <c r="A256" s="1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.75" customHeight="1">
      <c r="A257" s="1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.75" customHeight="1">
      <c r="A258" s="1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.75" customHeight="1">
      <c r="A259" s="1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.75" customHeight="1">
      <c r="A260" s="1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.75" customHeight="1">
      <c r="A261" s="1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.75" customHeight="1">
      <c r="A262" s="1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.75" customHeight="1">
      <c r="A263" s="1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.75" customHeight="1">
      <c r="A264" s="1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.75" customHeight="1">
      <c r="A265" s="1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.75" customHeight="1">
      <c r="A266" s="1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.75" customHeight="1">
      <c r="A267" s="1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.75" customHeight="1">
      <c r="A268" s="1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.75" customHeight="1">
      <c r="A269" s="1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.75" customHeight="1">
      <c r="A270" s="1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.75" customHeight="1">
      <c r="A271" s="1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.75" customHeight="1">
      <c r="A272" s="1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.75" customHeight="1">
      <c r="A273" s="1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.75" customHeight="1">
      <c r="A274" s="1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.75" customHeight="1">
      <c r="A275" s="1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.75" customHeight="1">
      <c r="A276" s="1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.75" customHeight="1">
      <c r="A277" s="1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.75" customHeight="1">
      <c r="A278" s="1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.75" customHeight="1">
      <c r="A279" s="1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.75" customHeight="1">
      <c r="A280" s="1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.75" customHeight="1">
      <c r="A281" s="1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.75" customHeight="1">
      <c r="A282" s="1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.75" customHeight="1">
      <c r="A283" s="1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.75" customHeight="1">
      <c r="A284" s="1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.75" customHeight="1">
      <c r="A285" s="1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.75" customHeight="1">
      <c r="A286" s="1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.75" customHeight="1">
      <c r="A287" s="1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.75" customHeight="1">
      <c r="A288" s="1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.75" customHeight="1">
      <c r="A289" s="1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.75" customHeight="1">
      <c r="A290" s="1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.75" customHeight="1">
      <c r="A291" s="1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.75" customHeight="1">
      <c r="A292" s="1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.75" customHeight="1">
      <c r="A293" s="1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.75" customHeight="1">
      <c r="A294" s="1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.75" customHeight="1">
      <c r="A295" s="1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.75" customHeight="1">
      <c r="A296" s="1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.75" customHeight="1">
      <c r="A297" s="1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.75" customHeight="1">
      <c r="A298" s="1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.75" customHeight="1">
      <c r="A299" s="1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.75" customHeight="1">
      <c r="A300" s="1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.75" customHeight="1">
      <c r="A301" s="1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.75" customHeight="1">
      <c r="A302" s="1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.75" customHeight="1">
      <c r="A303" s="1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.75" customHeight="1">
      <c r="A304" s="1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.75" customHeight="1">
      <c r="A305" s="1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.75" customHeight="1">
      <c r="A306" s="1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.75" customHeight="1">
      <c r="A307" s="1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.75" customHeight="1">
      <c r="A308" s="1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.75" customHeight="1">
      <c r="A309" s="1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.75" customHeight="1">
      <c r="A310" s="1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.75" customHeight="1">
      <c r="A311" s="1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.75" customHeight="1">
      <c r="A312" s="1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.75" customHeight="1">
      <c r="A313" s="1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.75" customHeight="1">
      <c r="A314" s="1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.75" customHeight="1">
      <c r="A315" s="1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.75" customHeight="1">
      <c r="A316" s="1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.75" customHeight="1">
      <c r="A317" s="1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.75" customHeight="1">
      <c r="A318" s="1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.75" customHeight="1">
      <c r="A319" s="1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.75" customHeight="1">
      <c r="A320" s="1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.75" customHeight="1">
      <c r="A321" s="1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.75" customHeight="1">
      <c r="A322" s="1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.75" customHeight="1">
      <c r="A323" s="1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.75" customHeight="1">
      <c r="A324" s="1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.75" customHeight="1">
      <c r="A325" s="1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.75" customHeight="1">
      <c r="A326" s="1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.75" customHeight="1">
      <c r="A327" s="1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.75" customHeight="1">
      <c r="A328" s="1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.75" customHeight="1">
      <c r="A329" s="1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.75" customHeight="1">
      <c r="A330" s="1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.75" customHeight="1">
      <c r="A331" s="1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.75" customHeight="1">
      <c r="A332" s="1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.75" customHeight="1">
      <c r="A333" s="1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.75" customHeight="1">
      <c r="A334" s="1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.75" customHeight="1">
      <c r="A335" s="1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.75" customHeight="1">
      <c r="A336" s="1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.75" customHeight="1">
      <c r="A337" s="1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.75" customHeight="1">
      <c r="A338" s="1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.75" customHeight="1">
      <c r="A339" s="1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.75" customHeight="1">
      <c r="A340" s="1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.75" customHeight="1">
      <c r="A341" s="1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.75" customHeight="1">
      <c r="A342" s="1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.75" customHeight="1">
      <c r="A343" s="1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.75" customHeight="1">
      <c r="A344" s="1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.75" customHeight="1">
      <c r="A345" s="1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.75" customHeight="1">
      <c r="A346" s="1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.75" customHeight="1">
      <c r="A347" s="1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.75" customHeight="1">
      <c r="A348" s="1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.75" customHeight="1">
      <c r="A349" s="1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.75" customHeight="1">
      <c r="A350" s="1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.75" customHeight="1">
      <c r="A351" s="1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.75" customHeight="1">
      <c r="A352" s="1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.75" customHeight="1">
      <c r="A353" s="1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.75" customHeight="1">
      <c r="A354" s="1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.75" customHeight="1">
      <c r="A355" s="1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.75" customHeight="1">
      <c r="A356" s="1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.75" customHeight="1">
      <c r="A357" s="1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.75" customHeight="1">
      <c r="A358" s="1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.75" customHeight="1">
      <c r="A359" s="1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.75" customHeight="1">
      <c r="A360" s="1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.75" customHeight="1">
      <c r="A361" s="1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.75" customHeight="1">
      <c r="A362" s="1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.75" customHeight="1">
      <c r="A363" s="1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.75" customHeight="1">
      <c r="A364" s="1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.75" customHeight="1">
      <c r="A365" s="1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.75" customHeight="1">
      <c r="A366" s="1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.75" customHeight="1">
      <c r="A367" s="1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.75" customHeight="1">
      <c r="A368" s="1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.75" customHeight="1">
      <c r="A369" s="1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.75" customHeight="1">
      <c r="A370" s="1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.75" customHeight="1">
      <c r="A371" s="1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.75" customHeight="1">
      <c r="A372" s="1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.75" customHeight="1">
      <c r="A373" s="1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.75" customHeight="1">
      <c r="A374" s="1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.75" customHeight="1">
      <c r="A375" s="1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.75" customHeight="1">
      <c r="A376" s="1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.75" customHeight="1">
      <c r="A377" s="1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.75" customHeight="1">
      <c r="A378" s="1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.75" customHeight="1">
      <c r="A379" s="1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.75" customHeight="1">
      <c r="A380" s="1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.75" customHeight="1">
      <c r="A381" s="1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.75" customHeight="1">
      <c r="A382" s="1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.75" customHeight="1">
      <c r="A383" s="1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.75" customHeight="1">
      <c r="A384" s="1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.75" customHeight="1">
      <c r="A385" s="1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.75" customHeight="1">
      <c r="A386" s="1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.75" customHeight="1">
      <c r="A387" s="1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.75" customHeight="1">
      <c r="A388" s="1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.75" customHeight="1">
      <c r="A389" s="1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.75" customHeight="1">
      <c r="A390" s="1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.75" customHeight="1">
      <c r="A391" s="1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.75" customHeight="1">
      <c r="A392" s="1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.75" customHeight="1">
      <c r="A393" s="1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.75" customHeight="1">
      <c r="A394" s="1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.75" customHeight="1">
      <c r="A395" s="1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.75" customHeight="1">
      <c r="A396" s="1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.75" customHeight="1">
      <c r="A397" s="1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.75" customHeight="1">
      <c r="A398" s="1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.75" customHeight="1">
      <c r="A399" s="1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.75" customHeight="1">
      <c r="A400" s="1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.75" customHeight="1">
      <c r="A401" s="1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.75" customHeight="1">
      <c r="A402" s="1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.75" customHeight="1">
      <c r="A403" s="1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.75" customHeight="1">
      <c r="A404" s="1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.75" customHeight="1">
      <c r="A405" s="1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.75" customHeight="1">
      <c r="A406" s="1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.75" customHeight="1">
      <c r="A407" s="1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.75" customHeight="1">
      <c r="A408" s="1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.75" customHeight="1">
      <c r="A409" s="1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.75" customHeight="1">
      <c r="A410" s="1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.75" customHeight="1">
      <c r="A411" s="1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.75" customHeight="1">
      <c r="A412" s="1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.75" customHeight="1">
      <c r="A413" s="1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.75" customHeight="1">
      <c r="A414" s="1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.75" customHeight="1">
      <c r="A415" s="1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.75" customHeight="1">
      <c r="A416" s="1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.75" customHeight="1">
      <c r="A417" s="1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.75" customHeight="1">
      <c r="A418" s="1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.75" customHeight="1">
      <c r="A419" s="1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.75" customHeight="1">
      <c r="A420" s="1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.75" customHeight="1">
      <c r="A421" s="1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.75" customHeight="1">
      <c r="A422" s="1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.75" customHeight="1">
      <c r="A423" s="1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.75" customHeight="1">
      <c r="A424" s="1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.75" customHeight="1">
      <c r="A425" s="1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.75" customHeight="1">
      <c r="A426" s="1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.75" customHeight="1">
      <c r="A427" s="1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.75" customHeight="1">
      <c r="A428" s="1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.75" customHeight="1">
      <c r="A429" s="1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.75" customHeight="1">
      <c r="A430" s="1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.75" customHeight="1">
      <c r="A431" s="1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.75" customHeight="1">
      <c r="A432" s="1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.75" customHeight="1">
      <c r="A433" s="1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.75" customHeight="1">
      <c r="A434" s="1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.75" customHeight="1">
      <c r="A435" s="1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.75" customHeight="1">
      <c r="A436" s="1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.75" customHeight="1">
      <c r="A437" s="1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.75" customHeight="1">
      <c r="A438" s="1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.75" customHeight="1">
      <c r="A439" s="1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.75" customHeight="1">
      <c r="A440" s="1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.75" customHeight="1">
      <c r="A441" s="1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.75" customHeight="1">
      <c r="A442" s="1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.75" customHeight="1">
      <c r="A443" s="1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.75" customHeight="1">
      <c r="A444" s="1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.75" customHeight="1">
      <c r="A445" s="1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.75" customHeight="1">
      <c r="A446" s="1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.75" customHeight="1">
      <c r="A447" s="1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.75" customHeight="1">
      <c r="A448" s="1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.75" customHeight="1">
      <c r="A449" s="1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.75" customHeight="1">
      <c r="A450" s="1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.75" customHeight="1">
      <c r="A451" s="1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.75" customHeight="1">
      <c r="A452" s="1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.75" customHeight="1">
      <c r="A453" s="1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.75" customHeight="1">
      <c r="A454" s="1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.75" customHeight="1">
      <c r="A455" s="1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.75" customHeight="1">
      <c r="A456" s="1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.75" customHeight="1">
      <c r="A457" s="1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.75" customHeight="1">
      <c r="A458" s="1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.75" customHeight="1">
      <c r="A459" s="1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.75" customHeight="1">
      <c r="A460" s="1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.75" customHeight="1">
      <c r="A461" s="1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.75" customHeight="1">
      <c r="A462" s="1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.75" customHeight="1">
      <c r="A463" s="1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.75" customHeight="1">
      <c r="A464" s="1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.75" customHeight="1">
      <c r="A465" s="1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.75" customHeight="1">
      <c r="A466" s="1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.75" customHeight="1">
      <c r="A467" s="1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.75" customHeight="1">
      <c r="A468" s="1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.75" customHeight="1">
      <c r="A469" s="1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.75" customHeight="1">
      <c r="A470" s="1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.75" customHeight="1">
      <c r="A471" s="1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.75" customHeight="1">
      <c r="A472" s="1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.75" customHeight="1">
      <c r="A473" s="1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.75" customHeight="1">
      <c r="A474" s="1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.75" customHeight="1">
      <c r="A475" s="1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.75" customHeight="1">
      <c r="A476" s="1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.75" customHeight="1">
      <c r="A477" s="1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.75" customHeight="1">
      <c r="A478" s="1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.75" customHeight="1">
      <c r="A479" s="1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.75" customHeight="1">
      <c r="A480" s="1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.75" customHeight="1">
      <c r="A481" s="1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.75" customHeight="1">
      <c r="A482" s="1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.75" customHeight="1">
      <c r="A483" s="1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.75" customHeight="1">
      <c r="A484" s="1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.75" customHeight="1">
      <c r="A485" s="1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.75" customHeight="1">
      <c r="A486" s="1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.75" customHeight="1">
      <c r="A487" s="1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.75" customHeight="1">
      <c r="A488" s="1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.75" customHeight="1">
      <c r="A489" s="1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.75" customHeight="1">
      <c r="A490" s="1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.75" customHeight="1">
      <c r="A491" s="1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.75" customHeight="1">
      <c r="A492" s="1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.75" customHeight="1">
      <c r="A493" s="1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.75" customHeight="1">
      <c r="A494" s="1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.75" customHeight="1">
      <c r="A495" s="1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.75" customHeight="1">
      <c r="A496" s="1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.75" customHeight="1">
      <c r="A497" s="1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.75" customHeight="1">
      <c r="A498" s="1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.75" customHeight="1">
      <c r="A499" s="1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.75" customHeight="1">
      <c r="A500" s="1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.75" customHeight="1">
      <c r="A501" s="1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.75" customHeight="1">
      <c r="A502" s="1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.75" customHeight="1">
      <c r="A503" s="1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.75" customHeight="1">
      <c r="A504" s="1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.75" customHeight="1">
      <c r="A505" s="1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.75" customHeight="1">
      <c r="A506" s="1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.75" customHeight="1">
      <c r="A507" s="1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.75" customHeight="1">
      <c r="A508" s="1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.75" customHeight="1">
      <c r="A509" s="1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.75" customHeight="1">
      <c r="A510" s="1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.75" customHeight="1">
      <c r="A511" s="1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.75" customHeight="1">
      <c r="A512" s="1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.75" customHeight="1">
      <c r="A513" s="1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.75" customHeight="1">
      <c r="A514" s="1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.75" customHeight="1">
      <c r="A515" s="1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.75" customHeight="1">
      <c r="A516" s="1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.75" customHeight="1">
      <c r="A517" s="1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.75" customHeight="1">
      <c r="A518" s="1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.75" customHeight="1">
      <c r="A519" s="1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.75" customHeight="1">
      <c r="A520" s="1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.75" customHeight="1">
      <c r="A521" s="1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.75" customHeight="1">
      <c r="A522" s="1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.75" customHeight="1">
      <c r="A523" s="1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.75" customHeight="1">
      <c r="A524" s="1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.75" customHeight="1">
      <c r="A525" s="1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.75" customHeight="1">
      <c r="A526" s="1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.75" customHeight="1">
      <c r="A527" s="1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.75" customHeight="1">
      <c r="A528" s="1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.75" customHeight="1">
      <c r="A529" s="1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.75" customHeight="1">
      <c r="A530" s="1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.75" customHeight="1">
      <c r="A531" s="1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.75" customHeight="1">
      <c r="A532" s="1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.75" customHeight="1">
      <c r="A533" s="1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.75" customHeight="1">
      <c r="A534" s="1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.75" customHeight="1">
      <c r="A535" s="1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.75" customHeight="1">
      <c r="A536" s="1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.75" customHeight="1">
      <c r="A537" s="1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.75" customHeight="1">
      <c r="A538" s="1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.75" customHeight="1">
      <c r="A539" s="1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.75" customHeight="1">
      <c r="A540" s="1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.75" customHeight="1">
      <c r="A541" s="1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.75" customHeight="1">
      <c r="A542" s="1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.75" customHeight="1">
      <c r="A543" s="1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.75" customHeight="1">
      <c r="A544" s="1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.75" customHeight="1">
      <c r="A545" s="1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.75" customHeight="1">
      <c r="A546" s="1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.75" customHeight="1">
      <c r="A547" s="1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.75" customHeight="1">
      <c r="A548" s="1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.75" customHeight="1">
      <c r="A549" s="1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.75" customHeight="1">
      <c r="A550" s="1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.75" customHeight="1">
      <c r="A551" s="1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.75" customHeight="1">
      <c r="A552" s="1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.75" customHeight="1">
      <c r="A553" s="1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.75" customHeight="1">
      <c r="A554" s="1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.75" customHeight="1">
      <c r="A555" s="1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.75" customHeight="1">
      <c r="A556" s="1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.75" customHeight="1">
      <c r="A557" s="1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.75" customHeight="1">
      <c r="A558" s="1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.75" customHeight="1">
      <c r="A559" s="1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.75" customHeight="1">
      <c r="A560" s="1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.75" customHeight="1">
      <c r="A561" s="1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.75" customHeight="1">
      <c r="A562" s="1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.75" customHeight="1">
      <c r="A563" s="1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.75" customHeight="1">
      <c r="A564" s="1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.75" customHeight="1">
      <c r="A565" s="1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.75" customHeight="1">
      <c r="A566" s="1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.75" customHeight="1">
      <c r="A567" s="1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.75" customHeight="1">
      <c r="A568" s="1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.75" customHeight="1">
      <c r="A569" s="1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.75" customHeight="1">
      <c r="A570" s="1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.75" customHeight="1">
      <c r="A571" s="1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.75" customHeight="1">
      <c r="A572" s="1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.75" customHeight="1">
      <c r="A573" s="1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.75" customHeight="1">
      <c r="A574" s="1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.75" customHeight="1">
      <c r="A575" s="1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.75" customHeight="1">
      <c r="A576" s="1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.75" customHeight="1">
      <c r="A577" s="1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.75" customHeight="1">
      <c r="A578" s="1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.75" customHeight="1">
      <c r="A579" s="1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.75" customHeight="1">
      <c r="A580" s="1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.75" customHeight="1">
      <c r="A581" s="1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.75" customHeight="1">
      <c r="A582" s="1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.75" customHeight="1">
      <c r="A583" s="1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.75" customHeight="1">
      <c r="A584" s="1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.75" customHeight="1">
      <c r="A585" s="1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.75" customHeight="1">
      <c r="A586" s="1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.75" customHeight="1">
      <c r="A587" s="1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.75" customHeight="1">
      <c r="A588" s="1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.75" customHeight="1">
      <c r="A589" s="1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.75" customHeight="1">
      <c r="A590" s="1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.75" customHeight="1">
      <c r="A591" s="1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.75" customHeight="1">
      <c r="A592" s="1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.75" customHeight="1">
      <c r="A593" s="1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.75" customHeight="1">
      <c r="A594" s="1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.75" customHeight="1">
      <c r="A595" s="1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.75" customHeight="1">
      <c r="A596" s="1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.75" customHeight="1">
      <c r="A597" s="1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.75" customHeight="1">
      <c r="A598" s="1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.75" customHeight="1">
      <c r="A599" s="1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.75" customHeight="1">
      <c r="A600" s="1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.75" customHeight="1">
      <c r="A601" s="1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.75" customHeight="1">
      <c r="A602" s="1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.75" customHeight="1">
      <c r="A603" s="1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.75" customHeight="1">
      <c r="A604" s="1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.75" customHeight="1">
      <c r="A605" s="1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.75" customHeight="1">
      <c r="A606" s="1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.75" customHeight="1">
      <c r="A607" s="1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.75" customHeight="1">
      <c r="A608" s="1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.75" customHeight="1">
      <c r="A609" s="1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.75" customHeight="1">
      <c r="A610" s="1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.75" customHeight="1">
      <c r="A611" s="1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.75" customHeight="1">
      <c r="A612" s="1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.75" customHeight="1">
      <c r="A613" s="1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.75" customHeight="1">
      <c r="A614" s="1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.75" customHeight="1">
      <c r="A615" s="1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.75" customHeight="1">
      <c r="A616" s="1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.75" customHeight="1">
      <c r="A617" s="1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.75" customHeight="1">
      <c r="A618" s="1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.75" customHeight="1">
      <c r="A619" s="1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.75" customHeight="1">
      <c r="A620" s="1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.75" customHeight="1">
      <c r="A621" s="1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.75" customHeight="1">
      <c r="A622" s="1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.75" customHeight="1">
      <c r="A623" s="1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.75" customHeight="1">
      <c r="A624" s="1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.75" customHeight="1">
      <c r="A625" s="1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.75" customHeight="1">
      <c r="A626" s="1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.75" customHeight="1">
      <c r="A627" s="1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.75" customHeight="1">
      <c r="A628" s="1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.75" customHeight="1">
      <c r="A629" s="1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.75" customHeight="1">
      <c r="A630" s="1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.75" customHeight="1">
      <c r="A631" s="1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.75" customHeight="1">
      <c r="A632" s="1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.75" customHeight="1">
      <c r="A633" s="1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.75" customHeight="1">
      <c r="A634" s="1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.75" customHeight="1">
      <c r="A635" s="1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.75" customHeight="1">
      <c r="A636" s="1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.75" customHeight="1">
      <c r="A637" s="1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.75" customHeight="1">
      <c r="A638" s="1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.75" customHeight="1">
      <c r="A639" s="1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.75" customHeight="1">
      <c r="A640" s="1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.75" customHeight="1">
      <c r="A641" s="1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.75" customHeight="1">
      <c r="A642" s="1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.75" customHeight="1">
      <c r="A643" s="1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.75" customHeight="1">
      <c r="A644" s="1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.75" customHeight="1">
      <c r="A645" s="1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.75" customHeight="1">
      <c r="A646" s="1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.75" customHeight="1">
      <c r="A647" s="1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.75" customHeight="1">
      <c r="A648" s="1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.75" customHeight="1">
      <c r="A649" s="1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.75" customHeight="1">
      <c r="A650" s="1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.75" customHeight="1">
      <c r="A651" s="1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.75" customHeight="1">
      <c r="A652" s="1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.75" customHeight="1">
      <c r="A653" s="1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.75" customHeight="1">
      <c r="A654" s="1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.75" customHeight="1">
      <c r="A655" s="1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.75" customHeight="1">
      <c r="A656" s="1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.75" customHeight="1">
      <c r="A657" s="1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.75" customHeight="1">
      <c r="A658" s="1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.75" customHeight="1">
      <c r="A659" s="1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.75" customHeight="1">
      <c r="A660" s="1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.75" customHeight="1">
      <c r="A661" s="1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.75" customHeight="1">
      <c r="A662" s="1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.75" customHeight="1">
      <c r="A663" s="1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.75" customHeight="1">
      <c r="A664" s="1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.75" customHeight="1">
      <c r="A665" s="1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.75" customHeight="1">
      <c r="A666" s="1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.75" customHeight="1">
      <c r="A667" s="1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.75" customHeight="1">
      <c r="A668" s="1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.75" customHeight="1">
      <c r="A669" s="1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.75" customHeight="1">
      <c r="A670" s="1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.75" customHeight="1">
      <c r="A671" s="1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.75" customHeight="1">
      <c r="A672" s="1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.75" customHeight="1">
      <c r="A673" s="1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.75" customHeight="1">
      <c r="A674" s="1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.75" customHeight="1">
      <c r="A675" s="1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.75" customHeight="1">
      <c r="A676" s="1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.75" customHeight="1">
      <c r="A677" s="1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.75" customHeight="1">
      <c r="A678" s="1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.75" customHeight="1">
      <c r="A679" s="1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.75" customHeight="1">
      <c r="A680" s="1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.75" customHeight="1">
      <c r="A681" s="1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.75" customHeight="1">
      <c r="A682" s="1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.75" customHeight="1">
      <c r="A683" s="1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.75" customHeight="1">
      <c r="A684" s="1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.75" customHeight="1">
      <c r="A685" s="1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.75" customHeight="1">
      <c r="A686" s="1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.75" customHeight="1">
      <c r="A687" s="1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.75" customHeight="1">
      <c r="A688" s="1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.75" customHeight="1">
      <c r="A689" s="1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.75" customHeight="1">
      <c r="A690" s="1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.75" customHeight="1">
      <c r="A691" s="1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.75" customHeight="1">
      <c r="A692" s="1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.75" customHeight="1">
      <c r="A693" s="1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.75" customHeight="1">
      <c r="A694" s="1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.75" customHeight="1">
      <c r="A695" s="1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.75" customHeight="1">
      <c r="A696" s="1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.75" customHeight="1">
      <c r="A697" s="1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.75" customHeight="1">
      <c r="A698" s="1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.75" customHeight="1">
      <c r="A699" s="1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.75" customHeight="1">
      <c r="A700" s="1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.75" customHeight="1">
      <c r="A701" s="1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.75" customHeight="1">
      <c r="A702" s="1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.75" customHeight="1">
      <c r="A703" s="1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.75" customHeight="1">
      <c r="A704" s="1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.75" customHeight="1">
      <c r="A705" s="1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.75" customHeight="1">
      <c r="A706" s="1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.75" customHeight="1">
      <c r="A707" s="1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.75" customHeight="1">
      <c r="A708" s="1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.75" customHeight="1">
      <c r="A709" s="1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.75" customHeight="1">
      <c r="A710" s="1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.75" customHeight="1">
      <c r="A711" s="1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.75" customHeight="1">
      <c r="A712" s="1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.75" customHeight="1">
      <c r="A713" s="1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.75" customHeight="1">
      <c r="A714" s="1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.75" customHeight="1">
      <c r="A715" s="1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.75" customHeight="1">
      <c r="A716" s="1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.75" customHeight="1">
      <c r="A717" s="1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.75" customHeight="1">
      <c r="A718" s="1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.75" customHeight="1">
      <c r="A719" s="1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.75" customHeight="1">
      <c r="A720" s="1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.75" customHeight="1">
      <c r="A721" s="1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.75" customHeight="1">
      <c r="A722" s="1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.75" customHeight="1">
      <c r="A723" s="1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.75" customHeight="1">
      <c r="A724" s="1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.75" customHeight="1">
      <c r="A725" s="1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.75" customHeight="1">
      <c r="A726" s="1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.75" customHeight="1">
      <c r="A727" s="1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.75" customHeight="1">
      <c r="A728" s="1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.75" customHeight="1">
      <c r="A729" s="1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.75" customHeight="1">
      <c r="A730" s="1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.75" customHeight="1">
      <c r="A731" s="1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.75" customHeight="1">
      <c r="A732" s="1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.75" customHeight="1">
      <c r="A733" s="1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.75" customHeight="1">
      <c r="A734" s="1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.75" customHeight="1">
      <c r="A735" s="1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.75" customHeight="1">
      <c r="A736" s="1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.75" customHeight="1">
      <c r="A737" s="1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.75" customHeight="1">
      <c r="A738" s="1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.75" customHeight="1">
      <c r="A739" s="1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.75" customHeight="1">
      <c r="A740" s="1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.75" customHeight="1">
      <c r="A741" s="1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.75" customHeight="1">
      <c r="A742" s="1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.75" customHeight="1">
      <c r="A743" s="1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.75" customHeight="1">
      <c r="A744" s="1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.75" customHeight="1">
      <c r="A745" s="1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.75" customHeight="1">
      <c r="A746" s="1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.75" customHeight="1">
      <c r="A747" s="1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.75" customHeight="1">
      <c r="A748" s="1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.75" customHeight="1">
      <c r="A749" s="1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.75" customHeight="1">
      <c r="A750" s="1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.75" customHeight="1">
      <c r="A751" s="1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.75" customHeight="1">
      <c r="A752" s="1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.75" customHeight="1">
      <c r="A753" s="1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.75" customHeight="1">
      <c r="A754" s="1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.75" customHeight="1">
      <c r="A755" s="1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.75" customHeight="1">
      <c r="A756" s="1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.75" customHeight="1">
      <c r="A757" s="1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.75" customHeight="1">
      <c r="A758" s="1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.75" customHeight="1">
      <c r="A759" s="1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.75" customHeight="1">
      <c r="A760" s="1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.75" customHeight="1">
      <c r="A761" s="1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.75" customHeight="1">
      <c r="A762" s="1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.75" customHeight="1">
      <c r="A763" s="1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.75" customHeight="1">
      <c r="A764" s="1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.75" customHeight="1">
      <c r="A765" s="1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.75" customHeight="1">
      <c r="A766" s="1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.75" customHeight="1">
      <c r="A767" s="1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.75" customHeight="1">
      <c r="A768" s="1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.75" customHeight="1">
      <c r="A769" s="1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.75" customHeight="1">
      <c r="A770" s="1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.75" customHeight="1">
      <c r="A771" s="1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.75" customHeight="1">
      <c r="A772" s="1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.75" customHeight="1">
      <c r="A773" s="1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.75" customHeight="1">
      <c r="A774" s="1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.75" customHeight="1">
      <c r="A775" s="1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.75" customHeight="1">
      <c r="A776" s="1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.75" customHeight="1">
      <c r="A777" s="1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.75" customHeight="1">
      <c r="A778" s="1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.75" customHeight="1">
      <c r="A779" s="1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.75" customHeight="1">
      <c r="A780" s="1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.75" customHeight="1">
      <c r="A781" s="1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.75" customHeight="1">
      <c r="A782" s="1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.75" customHeight="1">
      <c r="A783" s="1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.75" customHeight="1">
      <c r="A784" s="1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.75" customHeight="1">
      <c r="A785" s="1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.75" customHeight="1">
      <c r="A786" s="1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.75" customHeight="1">
      <c r="A787" s="1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.75" customHeight="1">
      <c r="A788" s="1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.75" customHeight="1">
      <c r="A789" s="1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.75" customHeight="1">
      <c r="A790" s="1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.75" customHeight="1">
      <c r="A791" s="1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.75" customHeight="1">
      <c r="A792" s="1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.75" customHeight="1">
      <c r="A793" s="1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.75" customHeight="1">
      <c r="A794" s="1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.75" customHeight="1">
      <c r="A795" s="1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.75" customHeight="1">
      <c r="A796" s="1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.75" customHeight="1">
      <c r="A797" s="1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.75" customHeight="1">
      <c r="A798" s="1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.75" customHeight="1">
      <c r="A799" s="1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.75" customHeight="1">
      <c r="A800" s="1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.75" customHeight="1">
      <c r="A801" s="1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.75" customHeight="1">
      <c r="A802" s="1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.75" customHeight="1">
      <c r="A803" s="1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.75" customHeight="1">
      <c r="A804" s="1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.75" customHeight="1">
      <c r="A805" s="1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.75" customHeight="1">
      <c r="A806" s="1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.75" customHeight="1">
      <c r="A807" s="1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.75" customHeight="1">
      <c r="A808" s="1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.75" customHeight="1">
      <c r="A809" s="1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.75" customHeight="1">
      <c r="A810" s="1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.75" customHeight="1">
      <c r="A811" s="1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.75" customHeight="1">
      <c r="A812" s="1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.75" customHeight="1">
      <c r="A813" s="1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.75" customHeight="1">
      <c r="A814" s="1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.75" customHeight="1">
      <c r="A815" s="1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.75" customHeight="1">
      <c r="A816" s="1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.75" customHeight="1">
      <c r="A817" s="1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.75" customHeight="1">
      <c r="A818" s="1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.75" customHeight="1">
      <c r="A819" s="1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.75" customHeight="1">
      <c r="A820" s="1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.75" customHeight="1">
      <c r="A821" s="1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.75" customHeight="1">
      <c r="A822" s="1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.75" customHeight="1">
      <c r="A823" s="1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.75" customHeight="1">
      <c r="A824" s="1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.75" customHeight="1">
      <c r="A825" s="1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.75" customHeight="1">
      <c r="A826" s="1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.75" customHeight="1">
      <c r="A827" s="1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.75" customHeight="1">
      <c r="A828" s="1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.75" customHeight="1">
      <c r="A829" s="1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.75" customHeight="1">
      <c r="A830" s="1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.75" customHeight="1">
      <c r="A831" s="1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.75" customHeight="1">
      <c r="A832" s="1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.75" customHeight="1">
      <c r="A833" s="1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.75" customHeight="1">
      <c r="A834" s="1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.75" customHeight="1">
      <c r="A835" s="1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.75" customHeight="1">
      <c r="A836" s="1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.75" customHeight="1">
      <c r="A837" s="1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.75" customHeight="1">
      <c r="A838" s="1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.75" customHeight="1">
      <c r="A839" s="1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.75" customHeight="1">
      <c r="A840" s="1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.75" customHeight="1">
      <c r="A841" s="1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.75" customHeight="1">
      <c r="A842" s="1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.75" customHeight="1">
      <c r="A843" s="1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.75" customHeight="1">
      <c r="A844" s="1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.75" customHeight="1">
      <c r="A845" s="1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.75" customHeight="1">
      <c r="A846" s="1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.75" customHeight="1">
      <c r="A847" s="1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.75" customHeight="1">
      <c r="A848" s="1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.75" customHeight="1">
      <c r="A849" s="1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.75" customHeight="1">
      <c r="A850" s="1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.75" customHeight="1">
      <c r="A851" s="1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.75" customHeight="1">
      <c r="A852" s="1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.75" customHeight="1">
      <c r="A853" s="1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.75" customHeight="1">
      <c r="A854" s="1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.75" customHeight="1">
      <c r="A855" s="1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.75" customHeight="1">
      <c r="A856" s="1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.75" customHeight="1">
      <c r="A857" s="1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.75" customHeight="1">
      <c r="A858" s="1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.75" customHeight="1">
      <c r="A859" s="1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.75" customHeight="1">
      <c r="A860" s="1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.75" customHeight="1">
      <c r="A861" s="1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.75" customHeight="1">
      <c r="A862" s="1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.75" customHeight="1">
      <c r="A863" s="1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.75" customHeight="1">
      <c r="A864" s="1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.75" customHeight="1">
      <c r="A865" s="1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.75" customHeight="1">
      <c r="A866" s="1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.75" customHeight="1">
      <c r="A867" s="1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.75" customHeight="1">
      <c r="A868" s="1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.75" customHeight="1">
      <c r="A869" s="1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.75" customHeight="1">
      <c r="A870" s="1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.75" customHeight="1">
      <c r="A871" s="1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.75" customHeight="1">
      <c r="A872" s="1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.75" customHeight="1">
      <c r="A873" s="1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.75" customHeight="1">
      <c r="A874" s="1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.75" customHeight="1">
      <c r="A875" s="1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.75" customHeight="1">
      <c r="A876" s="1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.75" customHeight="1">
      <c r="A877" s="1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.75" customHeight="1">
      <c r="A878" s="1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.75" customHeight="1">
      <c r="A879" s="1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.75" customHeight="1">
      <c r="A880" s="1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.75" customHeight="1">
      <c r="A881" s="1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.75" customHeight="1">
      <c r="A882" s="1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.75" customHeight="1">
      <c r="A883" s="1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.75" customHeight="1">
      <c r="A884" s="1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.75" customHeight="1">
      <c r="A885" s="1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.75" customHeight="1">
      <c r="A886" s="1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.75" customHeight="1">
      <c r="A887" s="1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.75" customHeight="1">
      <c r="A888" s="1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.75" customHeight="1">
      <c r="A889" s="1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.75" customHeight="1">
      <c r="A890" s="1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.75" customHeight="1">
      <c r="A891" s="1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.75" customHeight="1">
      <c r="A892" s="1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.75" customHeight="1">
      <c r="A893" s="1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.75" customHeight="1">
      <c r="A894" s="1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.75" customHeight="1">
      <c r="A895" s="1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.75" customHeight="1">
      <c r="A896" s="1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.75" customHeight="1">
      <c r="A897" s="1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.75" customHeight="1">
      <c r="A898" s="1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.75" customHeight="1">
      <c r="A899" s="1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.75" customHeight="1">
      <c r="A900" s="1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.75" customHeight="1">
      <c r="A901" s="1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.75" customHeight="1">
      <c r="A902" s="1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.75" customHeight="1">
      <c r="A903" s="1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.75" customHeight="1">
      <c r="A904" s="1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.75" customHeight="1">
      <c r="A905" s="1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.75" customHeight="1">
      <c r="A906" s="1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.75" customHeight="1">
      <c r="A907" s="1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.75" customHeight="1">
      <c r="A908" s="1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.75" customHeight="1">
      <c r="A909" s="1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.75" customHeight="1">
      <c r="A910" s="1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.75" customHeight="1">
      <c r="A911" s="1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.75" customHeight="1">
      <c r="A912" s="1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.75" customHeight="1">
      <c r="A913" s="1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.75" customHeight="1">
      <c r="A914" s="1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.75" customHeight="1">
      <c r="A915" s="1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.75" customHeight="1">
      <c r="A916" s="1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.75" customHeight="1">
      <c r="A917" s="1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.75" customHeight="1">
      <c r="A918" s="1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.75" customHeight="1">
      <c r="A919" s="1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.75" customHeight="1">
      <c r="A920" s="1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.75" customHeight="1">
      <c r="A921" s="1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.75" customHeight="1">
      <c r="A922" s="1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.75" customHeight="1">
      <c r="A923" s="1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.75" customHeight="1">
      <c r="A924" s="1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.75" customHeight="1">
      <c r="A925" s="1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.75" customHeight="1">
      <c r="A926" s="1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.75" customHeight="1">
      <c r="A927" s="1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.75" customHeight="1">
      <c r="A928" s="1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.75" customHeight="1">
      <c r="A929" s="1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.75" customHeight="1">
      <c r="A930" s="1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.75" customHeight="1">
      <c r="A931" s="1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.75" customHeight="1">
      <c r="A932" s="1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.75" customHeight="1">
      <c r="A933" s="1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.75" customHeight="1">
      <c r="A934" s="1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.75" customHeight="1">
      <c r="A935" s="1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.75" customHeight="1">
      <c r="A936" s="1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.75" customHeight="1">
      <c r="A937" s="1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.75" customHeight="1">
      <c r="A938" s="1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.75" customHeight="1">
      <c r="A939" s="1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.75" customHeight="1">
      <c r="A940" s="1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.75" customHeight="1">
      <c r="A941" s="1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.75" customHeight="1">
      <c r="A942" s="1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.75" customHeight="1">
      <c r="A943" s="1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.75" customHeight="1">
      <c r="A944" s="1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.75" customHeight="1">
      <c r="A945" s="1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.75" customHeight="1">
      <c r="A946" s="1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.75" customHeight="1">
      <c r="A947" s="1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.75" customHeight="1">
      <c r="A948" s="1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.75" customHeight="1">
      <c r="A949" s="1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.75" customHeight="1">
      <c r="A950" s="1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.75" customHeight="1">
      <c r="A951" s="1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.75" customHeight="1">
      <c r="A952" s="1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.75" customHeight="1">
      <c r="A953" s="1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.75" customHeight="1">
      <c r="A954" s="1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.75" customHeight="1">
      <c r="A955" s="1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.75" customHeight="1">
      <c r="A956" s="1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.75" customHeight="1">
      <c r="A957" s="1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.75" customHeight="1">
      <c r="A958" s="1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.75" customHeight="1">
      <c r="A959" s="1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.75" customHeight="1">
      <c r="A960" s="1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.75" customHeight="1">
      <c r="A961" s="1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.75" customHeight="1">
      <c r="A962" s="1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.75" customHeight="1">
      <c r="A963" s="1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.75" customHeight="1">
      <c r="A964" s="1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.75" customHeight="1">
      <c r="A965" s="1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.75" customHeight="1">
      <c r="A966" s="1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.75" customHeight="1">
      <c r="A967" s="1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.75" customHeight="1">
      <c r="A968" s="1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.75" customHeight="1">
      <c r="A969" s="1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.75" customHeight="1">
      <c r="A970" s="1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.75" customHeight="1">
      <c r="A971" s="1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.75" customHeight="1">
      <c r="A972" s="1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.75" customHeight="1">
      <c r="A973" s="1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.75" customHeight="1">
      <c r="A974" s="1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.75" customHeight="1">
      <c r="A975" s="1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.75" customHeight="1">
      <c r="A976" s="1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.75" customHeight="1">
      <c r="A977" s="1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.75" customHeight="1">
      <c r="A978" s="1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.75" customHeight="1">
      <c r="A979" s="1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.75" customHeight="1">
      <c r="A980" s="1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.75" customHeight="1">
      <c r="A981" s="1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.75" customHeight="1">
      <c r="A982" s="1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.75" customHeight="1">
      <c r="A983" s="1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.75" customHeight="1">
      <c r="A984" s="1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.75" customHeight="1">
      <c r="A985" s="1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.75" customHeight="1">
      <c r="A986" s="1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.75" customHeight="1">
      <c r="A987" s="1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.75" customHeight="1">
      <c r="A988" s="1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.75" customHeight="1">
      <c r="A989" s="1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.75" customHeight="1">
      <c r="A990" s="1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.75" customHeight="1">
      <c r="A991" s="1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.75" customHeight="1">
      <c r="A992" s="1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.75" customHeight="1">
      <c r="A993" s="1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.75" customHeight="1">
      <c r="A994" s="1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.75" customHeight="1">
      <c r="A995" s="1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.75" customHeight="1">
      <c r="A996" s="1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.75" customHeight="1">
      <c r="A997" s="1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.75" customHeight="1">
      <c r="A998" s="1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.75" customHeight="1">
      <c r="A999" s="1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.75" customHeight="1">
      <c r="A1000" s="1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6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4757-0E09-436E-A823-F72B5BAD25E2}">
  <sheetPr>
    <tabColor rgb="FFFFFFCC"/>
  </sheetPr>
  <dimension ref="A1:H28"/>
  <sheetViews>
    <sheetView workbookViewId="0">
      <selection activeCell="E32" sqref="E32"/>
    </sheetView>
  </sheetViews>
  <sheetFormatPr defaultRowHeight="15"/>
  <cols>
    <col min="1" max="1" width="9.140625" style="44"/>
    <col min="2" max="2" width="18.7109375" bestFit="1" customWidth="1"/>
    <col min="8" max="8" width="11.5703125" bestFit="1" customWidth="1"/>
  </cols>
  <sheetData>
    <row r="1" spans="1:8">
      <c r="H1" s="43">
        <v>45951</v>
      </c>
    </row>
    <row r="2" spans="1:8">
      <c r="H2" s="43"/>
    </row>
    <row r="3" spans="1:8" ht="15.75">
      <c r="A3" s="78" t="s">
        <v>66</v>
      </c>
      <c r="B3" s="79"/>
      <c r="C3" s="79"/>
      <c r="D3" s="79"/>
      <c r="E3" s="79"/>
      <c r="F3" s="79"/>
      <c r="G3" s="79"/>
      <c r="H3" s="79"/>
    </row>
    <row r="5" spans="1:8">
      <c r="A5" s="49" t="s">
        <v>82</v>
      </c>
    </row>
    <row r="6" spans="1:8">
      <c r="A6" s="49"/>
    </row>
    <row r="7" spans="1:8">
      <c r="A7" s="50" t="s">
        <v>79</v>
      </c>
    </row>
    <row r="8" spans="1:8">
      <c r="A8" s="50" t="s">
        <v>80</v>
      </c>
    </row>
    <row r="9" spans="1:8">
      <c r="A9" s="50"/>
    </row>
    <row r="10" spans="1:8">
      <c r="A10" s="49" t="s">
        <v>81</v>
      </c>
    </row>
    <row r="11" spans="1:8">
      <c r="A11" s="49"/>
    </row>
    <row r="12" spans="1:8">
      <c r="A12" s="51" t="s">
        <v>67</v>
      </c>
      <c r="B12" s="51" t="s">
        <v>73</v>
      </c>
      <c r="C12" s="80" t="s">
        <v>74</v>
      </c>
      <c r="D12" s="80"/>
      <c r="E12" s="80"/>
      <c r="F12" s="80"/>
      <c r="G12" s="80"/>
    </row>
    <row r="13" spans="1:8">
      <c r="A13" s="52" t="s">
        <v>68</v>
      </c>
      <c r="B13" s="51" t="s">
        <v>72</v>
      </c>
      <c r="C13" s="80" t="s">
        <v>71</v>
      </c>
      <c r="D13" s="80"/>
      <c r="E13" s="80"/>
      <c r="F13" s="80"/>
      <c r="G13" s="80"/>
    </row>
    <row r="14" spans="1:8">
      <c r="A14" s="52" t="s">
        <v>70</v>
      </c>
      <c r="B14" s="52" t="s">
        <v>69</v>
      </c>
      <c r="C14" s="80" t="s">
        <v>71</v>
      </c>
      <c r="D14" s="80"/>
      <c r="E14" s="80"/>
      <c r="F14" s="80"/>
      <c r="G14" s="80"/>
    </row>
    <row r="16" spans="1:8">
      <c r="A16" s="48" t="s">
        <v>84</v>
      </c>
    </row>
    <row r="28" spans="8:8">
      <c r="H28" s="47" t="s">
        <v>83</v>
      </c>
    </row>
  </sheetData>
  <mergeCells count="4">
    <mergeCell ref="A3:H3"/>
    <mergeCell ref="C14:G14"/>
    <mergeCell ref="C13:G13"/>
    <mergeCell ref="C12:G12"/>
  </mergeCells>
  <phoneticPr fontId="6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出勤簿</vt:lpstr>
      <vt:lpstr>関数</vt:lpstr>
      <vt:lpstr>祝日一覧</vt:lpstr>
      <vt:lpstr>20251021改定内容</vt:lpstr>
      <vt:lpstr>出勤簿!Print_Area</vt:lpstr>
      <vt:lpstr>祝日リスト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bizocean事務局</dc:creator>
  <cp:lastModifiedBy>裕一郎 神田</cp:lastModifiedBy>
  <cp:lastPrinted>2025-10-21T04:01:50Z</cp:lastPrinted>
  <dcterms:created xsi:type="dcterms:W3CDTF">2023-02-02T02:30:12Z</dcterms:created>
  <dcterms:modified xsi:type="dcterms:W3CDTF">2026-03-10T23:24:51Z</dcterms:modified>
</cp:coreProperties>
</file>